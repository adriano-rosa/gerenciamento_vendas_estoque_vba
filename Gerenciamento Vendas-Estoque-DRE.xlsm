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adriano.rosa\Documents\Documentos\Adriano\Projeto Gerenciamento - Salete\"/>
    </mc:Choice>
  </mc:AlternateContent>
  <bookViews>
    <workbookView xWindow="0" yWindow="0" windowWidth="19200" windowHeight="11595" tabRatio="985" firstSheet="1" activeTab="8"/>
  </bookViews>
  <sheets>
    <sheet name="Planilha2" sheetId="20" state="hidden" r:id="rId1"/>
    <sheet name="painel_principal" sheetId="17" r:id="rId2"/>
    <sheet name="cadastro_clientes" sheetId="21" r:id="rId3"/>
    <sheet name="cadastro_pedidos" sheetId="11" r:id="rId4"/>
    <sheet name="cadastro_estoque" sheetId="16" r:id="rId5"/>
    <sheet name="plano_vendas_&amp;_estoque" sheetId="1" r:id="rId6"/>
    <sheet name="Bases&gt;&gt;" sheetId="19" r:id="rId7"/>
    <sheet name="base_clientes" sheetId="5" r:id="rId8"/>
    <sheet name="base_estoque" sheetId="18" r:id="rId9"/>
    <sheet name="base_pedidos" sheetId="10" r:id="rId10"/>
    <sheet name="tabela_itens" sheetId="13" r:id="rId11"/>
    <sheet name="BASE DE PRODUTOS" sheetId="3" state="veryHidden" r:id="rId12"/>
    <sheet name="Lista de estoque" sheetId="8" state="hidden" r:id="rId13"/>
    <sheet name="FORMA DE PAGAMENTO" sheetId="4" state="hidden" r:id="rId14"/>
  </sheets>
  <definedNames>
    <definedName name="_xlnm._FilterDatabase" localSheetId="12" hidden="1">'Lista de estoque'!$N$2</definedName>
    <definedName name="_xlcn.WorksheetConnection_AgendadeSalete2.xlsmInventory_List_Table1" hidden="1">Inventory_List_Table[]</definedName>
    <definedName name="AnoCalendário" localSheetId="2">#REF!</definedName>
    <definedName name="AnoCalendário">#REF!</definedName>
    <definedName name="CalendárioAno1" localSheetId="2">#REF!</definedName>
    <definedName name="CalendárioAno1">#REF!</definedName>
    <definedName name="CalendárioAno10" localSheetId="2">#REF!</definedName>
    <definedName name="CalendárioAno10">#REF!</definedName>
    <definedName name="CalendárioAno11" localSheetId="2">#REF!</definedName>
    <definedName name="CalendárioAno11">#REF!</definedName>
    <definedName name="CalendárioAno12" localSheetId="2">#REF!</definedName>
    <definedName name="CalendárioAno12">#REF!</definedName>
    <definedName name="CalendárioAno2" localSheetId="2">#REF!</definedName>
    <definedName name="CalendárioAno2">#REF!</definedName>
    <definedName name="CalendárioAno3" localSheetId="2">#REF!</definedName>
    <definedName name="CalendárioAno3">#REF!</definedName>
    <definedName name="CalendárioAno4" localSheetId="2">#REF!</definedName>
    <definedName name="CalendárioAno4">#REF!</definedName>
    <definedName name="CalendárioAno5" localSheetId="2">#REF!</definedName>
    <definedName name="CalendárioAno5">#REF!</definedName>
    <definedName name="CalendárioAno6" localSheetId="2">#REF!</definedName>
    <definedName name="CalendárioAno6">#REF!</definedName>
    <definedName name="CalendárioAno7" localSheetId="2">#REF!</definedName>
    <definedName name="CalendárioAno7">#REF!</definedName>
    <definedName name="CalendárioAno8" localSheetId="2">#REF!</definedName>
    <definedName name="CalendárioAno8">#REF!</definedName>
    <definedName name="CalendárioAno9" localSheetId="2">#REF!</definedName>
    <definedName name="CalendárioAno9">#REF!</definedName>
    <definedName name="CaléndárioMês1" localSheetId="2">#REF!</definedName>
    <definedName name="CaléndárioMês1">#REF!</definedName>
    <definedName name="CaléndárioMês10" localSheetId="2">#REF!</definedName>
    <definedName name="CaléndárioMês10">#REF!</definedName>
    <definedName name="CaléndárioMês10Opção" localSheetId="2">MATCH(cadastro_clientes!CaléndárioMês10,[0]!Meses,0)</definedName>
    <definedName name="CaléndárioMês10Opção">MATCH(CaléndárioMês10,Meses,0)</definedName>
    <definedName name="CaléndárioMês11" localSheetId="2">#REF!</definedName>
    <definedName name="CaléndárioMês11">#REF!</definedName>
    <definedName name="CaléndárioMês11Opção" localSheetId="2">MATCH(cadastro_clientes!CaléndárioMês11,[0]!Meses,0)</definedName>
    <definedName name="CaléndárioMês11Opção">MATCH(CaléndárioMês11,Meses,0)</definedName>
    <definedName name="CaléndárioMês12" localSheetId="2">#REF!</definedName>
    <definedName name="CaléndárioMês12">#REF!</definedName>
    <definedName name="CaléndárioMês12Opção" localSheetId="2">MATCH(cadastro_clientes!CaléndárioMês12,[0]!Meses,0)</definedName>
    <definedName name="CaléndárioMês12Opção">MATCH(CaléndárioMês12,Meses,0)</definedName>
    <definedName name="CaléndárioMês1Opção" localSheetId="2">MATCH(cadastro_clientes!CaléndárioMês1,[0]!Meses,0)</definedName>
    <definedName name="CaléndárioMês1Opção">MATCH(CaléndárioMês1,Meses,0)</definedName>
    <definedName name="CaléndárioMês2" localSheetId="2">#REF!</definedName>
    <definedName name="CaléndárioMês2">#REF!</definedName>
    <definedName name="CaléndárioMês2Opção" localSheetId="2">MATCH(cadastro_clientes!CaléndárioMês2,[0]!Meses,0)</definedName>
    <definedName name="CaléndárioMês2Opção">MATCH(CaléndárioMês2,Meses,0)</definedName>
    <definedName name="CaléndárioMês3" localSheetId="2">#REF!</definedName>
    <definedName name="CaléndárioMês3">#REF!</definedName>
    <definedName name="CaléndárioMês3Opção" localSheetId="2">MATCH(cadastro_clientes!CaléndárioMês3,[0]!Meses,0)</definedName>
    <definedName name="CaléndárioMês3Opção">MATCH(CaléndárioMês3,Meses,0)</definedName>
    <definedName name="CaléndárioMês4" localSheetId="2">#REF!</definedName>
    <definedName name="CaléndárioMês4">#REF!</definedName>
    <definedName name="CaléndárioMês4Opção" localSheetId="2">MATCH(cadastro_clientes!CaléndárioMês4,[0]!Meses,0)</definedName>
    <definedName name="CaléndárioMês4Opção">MATCH(CaléndárioMês4,Meses,0)</definedName>
    <definedName name="CaléndárioMês5" localSheetId="2">#REF!</definedName>
    <definedName name="CaléndárioMês5">#REF!</definedName>
    <definedName name="CaléndárioMês5Opção" localSheetId="2">MATCH(cadastro_clientes!CaléndárioMês5,[0]!Meses,0)</definedName>
    <definedName name="CaléndárioMês5Opção">MATCH(CaléndárioMês5,Meses,0)</definedName>
    <definedName name="CaléndárioMês6" localSheetId="2">#REF!</definedName>
    <definedName name="CaléndárioMês6">#REF!</definedName>
    <definedName name="CaléndárioMês6Opção" localSheetId="2">MATCH(cadastro_clientes!CaléndárioMês6,[0]!Meses,0)</definedName>
    <definedName name="CaléndárioMês6Opção">MATCH(CaléndárioMês6,Meses,0)</definedName>
    <definedName name="CaléndárioMês7" localSheetId="2">#REF!</definedName>
    <definedName name="CaléndárioMês7">#REF!</definedName>
    <definedName name="CaléndárioMês7Opção" localSheetId="2">MATCH(cadastro_clientes!CaléndárioMês7,[0]!Meses,0)</definedName>
    <definedName name="CaléndárioMês7Opção">MATCH(CaléndárioMês7,Meses,0)</definedName>
    <definedName name="CaléndárioMês8" localSheetId="2">#REF!</definedName>
    <definedName name="CaléndárioMês8">#REF!</definedName>
    <definedName name="CaléndárioMês8Opção" localSheetId="2">MATCH(cadastro_clientes!CaléndárioMês8,[0]!Meses,0)</definedName>
    <definedName name="CaléndárioMês8Opção">MATCH(CaléndárioMês8,Meses,0)</definedName>
    <definedName name="CaléndárioMês9" localSheetId="2">#REF!</definedName>
    <definedName name="CaléndárioMês9">#REF!</definedName>
    <definedName name="CaléndárioMês9Opção" localSheetId="2">MATCH(cadastro_clientes!CaléndárioMês9,[0]!Meses,0)</definedName>
    <definedName name="CaléndárioMês9Opção">MATCH(CaléndárioMês9,Meses,0)</definedName>
    <definedName name="DiaDaSemanaOpção" localSheetId="2">MATCH(cadastro_clientes!InícioDaSemana,[0]!DiasDaSemana,0)+10</definedName>
    <definedName name="DiaDaSemanaOpção">MATCH(InícioDaSemana,DiasDaSemana,0)+10</definedName>
    <definedName name="Dias">{0,1,2,3,4,5,6}</definedName>
    <definedName name="DiasDaSemana">{"SEGUNDA-FEIRA","TERÇA-FEIRA","QUARTA-FEIRA","QUINTA-FEIRA","SEXTA-FEIRA","SÁBADO","DOMINGO"}</definedName>
    <definedName name="DiasESemanas">{0,1,2,3,4,5,6} + {0;1;2;3;4;5}*7</definedName>
    <definedName name="InícioDaSemana" localSheetId="2">#REF!</definedName>
    <definedName name="InícioDaSemana">#REF!</definedName>
    <definedName name="Meses">{"Janeiro","Fevereiro","Março","Abril","Maio","Junho","Julho","Agosto","Setembro","Outubro","Novembro","Dezembro"}</definedName>
    <definedName name="Nome_Cliente">OFFSET(base_clientes!XFC1048571,MATCH(cadastro_clientes!A1&amp;"*",base_clientes!XFC1048572:XFC1048570,0),0,COUNTIF(base_clientes!XFC1048572:XFC1048570,cadastro_clientes!A1&amp;"*"),1)</definedName>
    <definedName name="nome_cliente_pedido">OFFSET(base_clientes!XFC1048569,MATCH(cadastro_pedidos!A1&amp;"*",base_clientes!XFC1048570:XFC1048568,0),0,COUNTIF(base_clientes!XFC1048570:XFC1048568,cadastro_pedidos!A1&amp;"*"),1)</definedName>
    <definedName name="RealceValor">IFERROR(IF('Lista de estoque'!$O$2="Sim", TRUE, FALSE),FALSE)</definedName>
    <definedName name="RegiãoTítuloColuna1..H12.1" localSheetId="2">#REF!</definedName>
    <definedName name="RegiãoTítuloColuna1..H12.1">#REF!</definedName>
    <definedName name="RegiãoTítuloColuna1..H12.10" localSheetId="2">#REF!</definedName>
    <definedName name="RegiãoTítuloColuna1..H12.10">#REF!</definedName>
    <definedName name="RegiãoTítuloColuna1..H12.11" localSheetId="2">#REF!</definedName>
    <definedName name="RegiãoTítuloColuna1..H12.11">#REF!</definedName>
    <definedName name="RegiãoTítuloColuna1..H12.12" localSheetId="2">#REF!</definedName>
    <definedName name="RegiãoTítuloColuna1..H12.12">#REF!</definedName>
    <definedName name="RegiãoTítuloColuna1..H12.2" localSheetId="2">#REF!</definedName>
    <definedName name="RegiãoTítuloColuna1..H12.2">#REF!</definedName>
    <definedName name="RegiãoTítuloColuna1..H12.3" localSheetId="2">#REF!</definedName>
    <definedName name="RegiãoTítuloColuna1..H12.3">#REF!</definedName>
    <definedName name="RegiãoTítuloColuna1..H12.4" localSheetId="2">#REF!</definedName>
    <definedName name="RegiãoTítuloColuna1..H12.4">#REF!</definedName>
    <definedName name="RegiãoTítuloColuna1..H12.5" localSheetId="2">#REF!</definedName>
    <definedName name="RegiãoTítuloColuna1..H12.5">#REF!</definedName>
    <definedName name="RegiãoTítuloColuna1..H12.6" localSheetId="2">#REF!</definedName>
    <definedName name="RegiãoTítuloColuna1..H12.6">#REF!</definedName>
    <definedName name="RegiãoTítuloColuna1..H12.7" localSheetId="2">#REF!</definedName>
    <definedName name="RegiãoTítuloColuna1..H12.7">#REF!</definedName>
    <definedName name="RegiãoTítuloColuna1..H12.8" localSheetId="2">#REF!</definedName>
    <definedName name="RegiãoTítuloColuna1..H12.8">#REF!</definedName>
    <definedName name="RegiãoTítuloColuna1..H12.9" localSheetId="2">#REF!</definedName>
    <definedName name="RegiãoTítuloColuna1..H12.9">#REF!</definedName>
    <definedName name="RegiãoTítuloColuna10..H54.1" localSheetId="2">#REF!</definedName>
    <definedName name="RegiãoTítuloColuna10..H54.1">#REF!</definedName>
    <definedName name="RegiãoTítuloColuna11..C56.1" localSheetId="2">#REF!</definedName>
    <definedName name="RegiãoTítuloColuna11..C56.1">#REF!</definedName>
    <definedName name="RegiãoTítuloColuna12..D56.1" localSheetId="2">#REF!</definedName>
    <definedName name="RegiãoTítuloColuna12..D56.1">#REF!</definedName>
    <definedName name="RegiãoTítuloColuna13..H68.1" localSheetId="2">#REF!</definedName>
    <definedName name="RegiãoTítuloColuna13..H68.1">#REF!</definedName>
    <definedName name="RegiãoTítuloColuna14..C70.1" localSheetId="2">#REF!</definedName>
    <definedName name="RegiãoTítuloColuna14..C70.1">#REF!</definedName>
    <definedName name="RegiãoTítuloColuna15..D70.1" localSheetId="2">#REF!</definedName>
    <definedName name="RegiãoTítuloColuna15..D70.1">#REF!</definedName>
    <definedName name="RegiãoTítuloColuna16..H82.1" localSheetId="2">#REF!</definedName>
    <definedName name="RegiãoTítuloColuna16..H82.1">#REF!</definedName>
    <definedName name="RegiãoTítuloColuna17..C84.1" localSheetId="2">#REF!</definedName>
    <definedName name="RegiãoTítuloColuna17..C84.1">#REF!</definedName>
    <definedName name="RegiãoTítuloColuna18..D84.1" localSheetId="2">#REF!</definedName>
    <definedName name="RegiãoTítuloColuna18..D84.1">#REF!</definedName>
    <definedName name="RegiãoTítuloColuna19..H96.1" localSheetId="2">#REF!</definedName>
    <definedName name="RegiãoTítuloColuna19..H96.1">#REF!</definedName>
    <definedName name="RegiãoTítuloColuna2..C14.1" localSheetId="2">#REF!</definedName>
    <definedName name="RegiãoTítuloColuna2..C14.1">#REF!</definedName>
    <definedName name="RegiãoTítuloColuna2..C14.10" localSheetId="2">#REF!</definedName>
    <definedName name="RegiãoTítuloColuna2..C14.10">#REF!</definedName>
    <definedName name="RegiãoTítuloColuna2..C14.11" localSheetId="2">#REF!</definedName>
    <definedName name="RegiãoTítuloColuna2..C14.11">#REF!</definedName>
    <definedName name="RegiãoTítuloColuna2..C14.12" localSheetId="2">#REF!</definedName>
    <definedName name="RegiãoTítuloColuna2..C14.12">#REF!</definedName>
    <definedName name="RegiãoTítuloColuna2..C14.2" localSheetId="2">#REF!</definedName>
    <definedName name="RegiãoTítuloColuna2..C14.2">#REF!</definedName>
    <definedName name="RegiãoTítuloColuna2..C14.3" localSheetId="2">#REF!</definedName>
    <definedName name="RegiãoTítuloColuna2..C14.3">#REF!</definedName>
    <definedName name="RegiãoTítuloColuna2..C14.4" localSheetId="2">#REF!</definedName>
    <definedName name="RegiãoTítuloColuna2..C14.4">#REF!</definedName>
    <definedName name="RegiãoTítuloColuna2..C14.5" localSheetId="2">#REF!</definedName>
    <definedName name="RegiãoTítuloColuna2..C14.5">#REF!</definedName>
    <definedName name="RegiãoTítuloColuna2..C14.6" localSheetId="2">#REF!</definedName>
    <definedName name="RegiãoTítuloColuna2..C14.6">#REF!</definedName>
    <definedName name="RegiãoTítuloColuna2..C14.7" localSheetId="2">#REF!</definedName>
    <definedName name="RegiãoTítuloColuna2..C14.7">#REF!</definedName>
    <definedName name="RegiãoTítuloColuna2..C14.8" localSheetId="2">#REF!</definedName>
    <definedName name="RegiãoTítuloColuna2..C14.8">#REF!</definedName>
    <definedName name="RegiãoTítuloColuna2..C14.9" localSheetId="2">#REF!</definedName>
    <definedName name="RegiãoTítuloColuna2..C14.9">#REF!</definedName>
    <definedName name="RegiãoTítuloColuna20..C98.1" localSheetId="2">#REF!</definedName>
    <definedName name="RegiãoTítuloColuna20..C98.1">#REF!</definedName>
    <definedName name="RegiãoTítuloColuna21..D98.1" localSheetId="2">#REF!</definedName>
    <definedName name="RegiãoTítuloColuna21..D98.1">#REF!</definedName>
    <definedName name="RegiãoTítuloColuna22..H110.1" localSheetId="2">#REF!</definedName>
    <definedName name="RegiãoTítuloColuna22..H110.1">#REF!</definedName>
    <definedName name="RegiãoTítuloColuna23..C112.1" localSheetId="2">#REF!</definedName>
    <definedName name="RegiãoTítuloColuna23..C112.1">#REF!</definedName>
    <definedName name="RegiãoTítuloColuna24..D112.1" localSheetId="2">#REF!</definedName>
    <definedName name="RegiãoTítuloColuna24..D112.1">#REF!</definedName>
    <definedName name="RegiãoTítuloColuna25..H124.1" localSheetId="2">#REF!</definedName>
    <definedName name="RegiãoTítuloColuna25..H124.1">#REF!</definedName>
    <definedName name="RegiãoTítuloColuna26..C126.1" localSheetId="2">#REF!</definedName>
    <definedName name="RegiãoTítuloColuna26..C126.1">#REF!</definedName>
    <definedName name="RegiãoTítuloColuna27..D126.1" localSheetId="2">#REF!</definedName>
    <definedName name="RegiãoTítuloColuna27..D126.1">#REF!</definedName>
    <definedName name="RegiãoTítuloColuna28..H138.1" localSheetId="2">#REF!</definedName>
    <definedName name="RegiãoTítuloColuna28..H138.1">#REF!</definedName>
    <definedName name="RegiãoTítuloColuna29..C140.1" localSheetId="2">#REF!</definedName>
    <definedName name="RegiãoTítuloColuna29..C140.1">#REF!</definedName>
    <definedName name="RegiãoTítuloColuna3..D14.1" localSheetId="2">#REF!</definedName>
    <definedName name="RegiãoTítuloColuna3..D14.1">#REF!</definedName>
    <definedName name="RegiãoTítuloColuna30..D140.1" localSheetId="2">#REF!</definedName>
    <definedName name="RegiãoTítuloColuna30..D140.1">#REF!</definedName>
    <definedName name="RegiãoTítuloColuna31..H152.1" localSheetId="2">#REF!</definedName>
    <definedName name="RegiãoTítuloColuna31..H152.1">#REF!</definedName>
    <definedName name="RegiãoTítuloColuna32..C154.1" localSheetId="2">#REF!</definedName>
    <definedName name="RegiãoTítuloColuna32..C154.1">#REF!</definedName>
    <definedName name="RegiãoTítuloColuna33..D154.1" localSheetId="2">#REF!</definedName>
    <definedName name="RegiãoTítuloColuna33..D154.1">#REF!</definedName>
    <definedName name="RegiãoTítuloColuna34..H166.1" localSheetId="2">#REF!</definedName>
    <definedName name="RegiãoTítuloColuna34..H166.1">#REF!</definedName>
    <definedName name="RegiãoTítuloColuna35..C168.1" localSheetId="2">#REF!</definedName>
    <definedName name="RegiãoTítuloColuna35..C168.1">#REF!</definedName>
    <definedName name="RegiãoTítuloColuna36..D168.1" localSheetId="2">#REF!</definedName>
    <definedName name="RegiãoTítuloColuna36..D168.1">#REF!</definedName>
    <definedName name="RegiãoTítuloColuna4..H26.1" localSheetId="2">#REF!</definedName>
    <definedName name="RegiãoTítuloColuna4..H26.1">#REF!</definedName>
    <definedName name="RegiãoTítuloColuna5..C28.1" localSheetId="2">#REF!</definedName>
    <definedName name="RegiãoTítuloColuna5..C28.1">#REF!</definedName>
    <definedName name="RegiãoTítuloColuna6..D28.1" localSheetId="2">#REF!</definedName>
    <definedName name="RegiãoTítuloColuna6..D28.1">#REF!</definedName>
    <definedName name="RegiãoTítuloColuna7..H40.1" localSheetId="2">#REF!</definedName>
    <definedName name="RegiãoTítuloColuna7..H40.1">#REF!</definedName>
    <definedName name="RegiãoTítuloColuna8..C42.1" localSheetId="2">#REF!</definedName>
    <definedName name="RegiãoTítuloColuna8..C42.1">#REF!</definedName>
    <definedName name="RegiãoTítuloColuna9..D42.1" localSheetId="2">#REF!</definedName>
    <definedName name="RegiãoTítuloColuna9..D42.1">#REF!</definedName>
    <definedName name="_xlnm.Print_Titles" localSheetId="12">'Lista de estoque'!$1:$3</definedName>
    <definedName name="ValorDoInícioDaSemana" localSheetId="2">IF(cadastro_clientes!InícioDaSemana="SEGUNDA-FEIRA",2,1)</definedName>
    <definedName name="ValorDoInícioDaSemana">IF(InícioDaSemana="SEGUNDA-FEIRA",2,1)</definedName>
  </definedNames>
  <calcPr calcId="152511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List_Table" name="Inventory_List_Table" connection="WorksheetConnection_Agenda de Salete (2).xlsm!Inventory_List_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20" l="1"/>
  <c r="O5" i="20"/>
  <c r="O4" i="20"/>
  <c r="F3" i="20"/>
  <c r="F4" i="20" a="1"/>
  <c r="F25" i="20" a="1"/>
  <c r="F25" i="20" l="1"/>
  <c r="F4" i="20"/>
  <c r="E42" i="16"/>
  <c r="D42" i="16"/>
  <c r="F22" i="11" l="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21" i="11"/>
  <c r="F46" i="11"/>
  <c r="F20" i="11"/>
  <c r="D48" i="11" l="1"/>
  <c r="E48" i="11"/>
  <c r="F48" i="11" l="1"/>
  <c r="B4" i="8" l="1"/>
  <c r="K4" i="8"/>
  <c r="B5" i="8"/>
  <c r="K5" i="8"/>
  <c r="B6" i="8"/>
  <c r="K6" i="8"/>
  <c r="B7" i="8"/>
  <c r="K7" i="8"/>
  <c r="B8" i="8"/>
  <c r="K8" i="8"/>
  <c r="B9" i="8"/>
  <c r="K9" i="8"/>
  <c r="B10" i="8"/>
  <c r="K10" i="8"/>
  <c r="B11" i="8"/>
  <c r="K11" i="8"/>
  <c r="B12" i="8"/>
  <c r="K12" i="8"/>
  <c r="B13" i="8"/>
  <c r="K13" i="8"/>
  <c r="B14" i="8"/>
  <c r="K14" i="8"/>
  <c r="B15" i="8"/>
  <c r="K15" i="8"/>
  <c r="B16" i="8"/>
  <c r="K16" i="8"/>
  <c r="B17" i="8"/>
  <c r="K17" i="8"/>
  <c r="B18" i="8"/>
  <c r="K18" i="8"/>
  <c r="B19" i="8"/>
  <c r="K19" i="8"/>
  <c r="B20" i="8"/>
  <c r="K20" i="8"/>
  <c r="B21" i="8"/>
  <c r="K21" i="8"/>
  <c r="B22" i="8"/>
  <c r="K22" i="8"/>
  <c r="B23" i="8"/>
  <c r="K23" i="8"/>
  <c r="B24" i="8"/>
  <c r="K24" i="8"/>
  <c r="B25" i="8"/>
  <c r="K25" i="8"/>
  <c r="B26" i="8"/>
  <c r="K26" i="8"/>
  <c r="B27" i="8"/>
  <c r="K27" i="8"/>
  <c r="B28" i="8"/>
  <c r="K28" i="8"/>
</calcChain>
</file>

<file path=xl/connections.xml><?xml version="1.0" encoding="utf-8"?>
<connections xmlns="http://schemas.openxmlformats.org/spreadsheetml/2006/main">
  <connection id="1" keepAlive="1" name="Consulta - Acrescentar1" description="Conexão com a consulta 'Acrescentar1' na pasta de trabalho." type="5" refreshedVersion="7" background="1" saveData="1">
    <dbPr connection="Provider=Microsoft.Mashup.OleDb.1;Data Source=$Workbook$;Location=Acrescentar1;Extended Properties=&quot;&quot;" command="SELECT * FROM [Acrescentar1]"/>
  </connection>
  <connection id="2" keepAlive="1" name="Consulta - base_clientes" description="Conexão com a consulta 'base_clientes' na pasta de trabalho." type="5" refreshedVersion="7" background="1" saveData="1">
    <dbPr connection="Provider=Microsoft.Mashup.OleDb.1;Data Source=$Workbook$;Location=base_clientes;Extended Properties=&quot;&quot;" command="SELECT * FROM [base_clientes]"/>
  </connection>
  <connection id="3" keepAlive="1" name="Consulta - base_estoque" description="Conexão com a consulta 'base_estoque' na pasta de trabalho." type="5" refreshedVersion="7" background="1" saveData="1">
    <dbPr connection="Provider=Microsoft.Mashup.OleDb.1;Data Source=$Workbook$;Location=base_estoque;Extended Properties=&quot;&quot;" command="SELECT * FROM [base_estoque]"/>
  </connection>
  <connection id="4" keepAlive="1" name="Consulta - base_pedidos" description="Conexão com a consulta 'base_pedidos' na pasta de trabalho." type="5" refreshedVersion="7" background="1" saveData="1">
    <dbPr connection="Provider=Microsoft.Mashup.OleDb.1;Data Source=$Workbook$;Location=base_pedidos;Extended Properties=&quot;&quot;" command="SELECT * FROM [base_pedidos]"/>
  </connection>
  <connection id="5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name="WorksheetConnection_Agenda de Salete (2).xlsm!Inventory_List_Table" type="102" refreshedVersion="7" minRefreshableVersion="5">
    <extLst>
      <ext xmlns:x15="http://schemas.microsoft.com/office/spreadsheetml/2010/11/main" uri="{DE250136-89BD-433C-8126-D09CA5730AF9}">
        <x15:connection id="Inventory_List_Table">
          <x15:rangePr sourceName="_xlcn.WorksheetConnection_AgendadeSalete2.xlsmInventory_List_Table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<sst xmlns="http://schemas.openxmlformats.org/spreadsheetml/2006/main" count="488" uniqueCount="293">
  <si>
    <t>nome do cliente</t>
  </si>
  <si>
    <t>material</t>
  </si>
  <si>
    <t xml:space="preserve">semana </t>
  </si>
  <si>
    <t>mês</t>
  </si>
  <si>
    <t>seg</t>
  </si>
  <si>
    <t>ter</t>
  </si>
  <si>
    <t>q</t>
  </si>
  <si>
    <t>cliente</t>
  </si>
  <si>
    <t>endereço</t>
  </si>
  <si>
    <t>bairro</t>
  </si>
  <si>
    <t>telefone do cliente</t>
  </si>
  <si>
    <t>dia da entrega</t>
  </si>
  <si>
    <t>forma de pagamento</t>
  </si>
  <si>
    <t>boleto</t>
  </si>
  <si>
    <t>dinheiro</t>
  </si>
  <si>
    <t>pix</t>
  </si>
  <si>
    <t>cartão</t>
  </si>
  <si>
    <t>qual material e quantidade?</t>
  </si>
  <si>
    <t>xxxx</t>
  </si>
  <si>
    <t>Disponivel</t>
  </si>
  <si>
    <t>Nec. Produção?</t>
  </si>
  <si>
    <t>CÓDIGO</t>
  </si>
  <si>
    <t>DESCRIÇÃO</t>
  </si>
  <si>
    <t>PROPORÇÃO</t>
  </si>
  <si>
    <t>001-01</t>
  </si>
  <si>
    <t>001-02</t>
  </si>
  <si>
    <t>001-03</t>
  </si>
  <si>
    <t>001-04</t>
  </si>
  <si>
    <t>001-05</t>
  </si>
  <si>
    <t>001-06</t>
  </si>
  <si>
    <t>001-07</t>
  </si>
  <si>
    <t>Qtd Produzida</t>
  </si>
  <si>
    <t>Qtd Em Cotação</t>
  </si>
  <si>
    <t>Qtd Em Venda</t>
  </si>
  <si>
    <t>Bloco - Dimensão: 14*19*39 cm</t>
  </si>
  <si>
    <t>Bloco 1/2 - Dimensão: 14*19*19 cm</t>
  </si>
  <si>
    <t>Bloco Calha - Dimensão: 14*19*39 cm</t>
  </si>
  <si>
    <t>Bloco - Dimensão: 09*19*39 cm</t>
  </si>
  <si>
    <t>Bloco - Dimensão: 19*19*39 cm</t>
  </si>
  <si>
    <t>Bloco Calha - Dimensão: 19*19*39 cm</t>
  </si>
  <si>
    <t>Bloco 1/2 - Dimensão: 19*19*19 cm</t>
  </si>
  <si>
    <t>002-01</t>
  </si>
  <si>
    <t>Meio Fio - Dimensão 25*10*65 cm</t>
  </si>
  <si>
    <t>Meio Fio Rebaixo - Dimensão 15*10*65 cm</t>
  </si>
  <si>
    <t>002-02</t>
  </si>
  <si>
    <t>003-01</t>
  </si>
  <si>
    <t>003-02</t>
  </si>
  <si>
    <t>003-03</t>
  </si>
  <si>
    <t>003-04</t>
  </si>
  <si>
    <t>003-05</t>
  </si>
  <si>
    <t>003-06</t>
  </si>
  <si>
    <t>003-07</t>
  </si>
  <si>
    <t>Paver - Dimensão 10*06*20 cm</t>
  </si>
  <si>
    <t>Paver - Dimensão 10*08*20 cm</t>
  </si>
  <si>
    <t>Paver"S (16 faces)  - Dimensão 10*08*20 cm</t>
  </si>
  <si>
    <t>Paver Colorido</t>
  </si>
  <si>
    <t>Paver Direcional</t>
  </si>
  <si>
    <t>Paver Rodotatil</t>
  </si>
  <si>
    <t>Lajotão retangular</t>
  </si>
  <si>
    <t>Lajota sextavada</t>
  </si>
  <si>
    <t>004-01</t>
  </si>
  <si>
    <t>004-02</t>
  </si>
  <si>
    <t>CLIENTE</t>
  </si>
  <si>
    <t>ENDEREÇO</t>
  </si>
  <si>
    <t>BAIRRO</t>
  </si>
  <si>
    <t>TELEFONE</t>
  </si>
  <si>
    <t>FORMA DE PAGAMENTO</t>
  </si>
  <si>
    <t>MATERIAL</t>
  </si>
  <si>
    <t>CÓD MATERIAL</t>
  </si>
  <si>
    <t>JULIANA LINO</t>
  </si>
  <si>
    <t>Dinheiro</t>
  </si>
  <si>
    <t>Pix</t>
  </si>
  <si>
    <t>Cheque</t>
  </si>
  <si>
    <t>Preço Unit</t>
  </si>
  <si>
    <t>DOMINGO</t>
  </si>
  <si>
    <t>Descr 25</t>
  </si>
  <si>
    <t>Item 25</t>
  </si>
  <si>
    <t>IN0025</t>
  </si>
  <si>
    <t>Descr 24</t>
  </si>
  <si>
    <t>Item 24</t>
  </si>
  <si>
    <t>IN0024</t>
  </si>
  <si>
    <t>Sim</t>
  </si>
  <si>
    <t>Descr 23</t>
  </si>
  <si>
    <t>Item 23</t>
  </si>
  <si>
    <t>IN0023</t>
  </si>
  <si>
    <t>Descr 22</t>
  </si>
  <si>
    <t>Item 22</t>
  </si>
  <si>
    <t>IN0022</t>
  </si>
  <si>
    <t>Descr 21</t>
  </si>
  <si>
    <t>Item 21</t>
  </si>
  <si>
    <t>IN0021</t>
  </si>
  <si>
    <t>Descr 20</t>
  </si>
  <si>
    <t>Item 20</t>
  </si>
  <si>
    <t>IN0020</t>
  </si>
  <si>
    <t>Descr 19</t>
  </si>
  <si>
    <t>Item 19</t>
  </si>
  <si>
    <t>IN0019</t>
  </si>
  <si>
    <t>Descr 18</t>
  </si>
  <si>
    <t>Item 18</t>
  </si>
  <si>
    <t>IN0018</t>
  </si>
  <si>
    <t>Descr 17</t>
  </si>
  <si>
    <t>Item 17</t>
  </si>
  <si>
    <t>IN0017</t>
  </si>
  <si>
    <t>Descr 16</t>
  </si>
  <si>
    <t>Item 16</t>
  </si>
  <si>
    <t>IN0016</t>
  </si>
  <si>
    <t>Descr 15</t>
  </si>
  <si>
    <t>Item 15</t>
  </si>
  <si>
    <t>IN0015</t>
  </si>
  <si>
    <t>Descr 14</t>
  </si>
  <si>
    <t>Item 14</t>
  </si>
  <si>
    <t>IN0014</t>
  </si>
  <si>
    <t>Descr 13</t>
  </si>
  <si>
    <t>Item 13</t>
  </si>
  <si>
    <t>IN0013</t>
  </si>
  <si>
    <t>Descr 12</t>
  </si>
  <si>
    <t>Item 12</t>
  </si>
  <si>
    <t>IN0012</t>
  </si>
  <si>
    <t>Descr 11</t>
  </si>
  <si>
    <t>Item 11</t>
  </si>
  <si>
    <t>IN0011</t>
  </si>
  <si>
    <t>Descr 10</t>
  </si>
  <si>
    <t>Item 10</t>
  </si>
  <si>
    <t>IN0010</t>
  </si>
  <si>
    <t>Descr 9</t>
  </si>
  <si>
    <t>Item 9</t>
  </si>
  <si>
    <t>IN0009</t>
  </si>
  <si>
    <t>Descr 8</t>
  </si>
  <si>
    <t>Item 8</t>
  </si>
  <si>
    <t>IN0008</t>
  </si>
  <si>
    <t>Descr 7</t>
  </si>
  <si>
    <t>Item 7</t>
  </si>
  <si>
    <t>IN0007</t>
  </si>
  <si>
    <t>Descr 6</t>
  </si>
  <si>
    <t>Item 6</t>
  </si>
  <si>
    <t>IN0006</t>
  </si>
  <si>
    <t>Descr 5</t>
  </si>
  <si>
    <t>Item 5</t>
  </si>
  <si>
    <t>IN0005</t>
  </si>
  <si>
    <t>Descr 4</t>
  </si>
  <si>
    <t>Item 4</t>
  </si>
  <si>
    <t>IN0004</t>
  </si>
  <si>
    <t>Descr 3</t>
  </si>
  <si>
    <t>Item 3</t>
  </si>
  <si>
    <t>IN0003</t>
  </si>
  <si>
    <t>Descr 2</t>
  </si>
  <si>
    <t>Item 2</t>
  </si>
  <si>
    <t>IN0002</t>
  </si>
  <si>
    <t>Descr 1</t>
  </si>
  <si>
    <t>Item 1</t>
  </si>
  <si>
    <t>IN0001</t>
  </si>
  <si>
    <t>Descontinuado?</t>
  </si>
  <si>
    <t>Quantidade a encomendar</t>
  </si>
  <si>
    <t>Nova encomenda em X dias</t>
  </si>
  <si>
    <t>Nível de estoque</t>
  </si>
  <si>
    <t>Valor de estoque</t>
  </si>
  <si>
    <t>Quantidade em estoque</t>
  </si>
  <si>
    <t>Preço unitário</t>
  </si>
  <si>
    <t>Descrição</t>
  </si>
  <si>
    <t>Nome</t>
  </si>
  <si>
    <t>ID de estoque</t>
  </si>
  <si>
    <t>Para reordenar</t>
  </si>
  <si>
    <t>Destacar itens para nova encomenda?</t>
  </si>
  <si>
    <t xml:space="preserve"> </t>
  </si>
  <si>
    <t>PEDIDO</t>
  </si>
  <si>
    <t>QUANTIDADE</t>
  </si>
  <si>
    <t>PREÇO UNITARIO</t>
  </si>
  <si>
    <t>Qtd Em Pedido</t>
  </si>
  <si>
    <t>Nota Fiscal:</t>
  </si>
  <si>
    <t>Forma de Pagamento:</t>
  </si>
  <si>
    <t>Situação do Pedido:</t>
  </si>
  <si>
    <t>Motivo cancelamento:</t>
  </si>
  <si>
    <t xml:space="preserve">                  Pedido:</t>
  </si>
  <si>
    <t>Totais do Pedido:</t>
  </si>
  <si>
    <t>NOTA_FISCAL</t>
  </si>
  <si>
    <t>DATA_DA_SOLICITAÇÃO</t>
  </si>
  <si>
    <t>DATA_DA_ENTREGA</t>
  </si>
  <si>
    <t>FORMA_DE_PAGAMENTO</t>
  </si>
  <si>
    <t>Débito</t>
  </si>
  <si>
    <t>Crédito</t>
  </si>
  <si>
    <t>Aberto</t>
  </si>
  <si>
    <t>Entregue</t>
  </si>
  <si>
    <t>Bloqueado</t>
  </si>
  <si>
    <t>CODIGO</t>
  </si>
  <si>
    <t>DESCRICAO</t>
  </si>
  <si>
    <t>Forma de Pagamento</t>
  </si>
  <si>
    <t>Situiação Pedido</t>
  </si>
  <si>
    <t>SITUACAO_PEDIDO</t>
  </si>
  <si>
    <t>COD_MATERIAL</t>
  </si>
  <si>
    <t>DESC_MATERIAL</t>
  </si>
  <si>
    <t>VALOR_UNIT</t>
  </si>
  <si>
    <t>VALOR_TOTAL</t>
  </si>
  <si>
    <t>VALOR UNIT</t>
  </si>
  <si>
    <t>VALOR TOTAL</t>
  </si>
  <si>
    <t>BLCO141939</t>
  </si>
  <si>
    <t>BLCO091939</t>
  </si>
  <si>
    <t>BLCO191939</t>
  </si>
  <si>
    <t>BLCO141919</t>
  </si>
  <si>
    <t>BLCO191919</t>
  </si>
  <si>
    <t>BLCA141939</t>
  </si>
  <si>
    <t>BLCA191939</t>
  </si>
  <si>
    <t>MFIO251065</t>
  </si>
  <si>
    <t>MFIR151065</t>
  </si>
  <si>
    <t>PVER100620</t>
  </si>
  <si>
    <t>PVER100820</t>
  </si>
  <si>
    <t>P16F100820</t>
  </si>
  <si>
    <t>PAVERCOLO</t>
  </si>
  <si>
    <t>PAVERDIRE</t>
  </si>
  <si>
    <t>PAVERROTA</t>
  </si>
  <si>
    <t>LAJSEXTAV</t>
  </si>
  <si>
    <t>LAJRETANG</t>
  </si>
  <si>
    <t>Data de Entrega:</t>
  </si>
  <si>
    <t>Data da Solicitação:</t>
  </si>
  <si>
    <t>Nome Cliente:</t>
  </si>
  <si>
    <t>Bloco-Dimensão: 14*19*39 cm</t>
  </si>
  <si>
    <t>Bloco 1/2-Dimensão: 14*19*19 cm</t>
  </si>
  <si>
    <t>Bloco Calha-Dimensão: 14*19*39 cm</t>
  </si>
  <si>
    <t>Bloco-Dimensão: 09*19*39 cm</t>
  </si>
  <si>
    <t>Bloco-Dimensão: 19*19*39 cm</t>
  </si>
  <si>
    <t>Bloco Calha-Dimensão: 19*19*39 cm</t>
  </si>
  <si>
    <t>Bloco 1/2-Dimensão: 19*19*19 cm</t>
  </si>
  <si>
    <t>Meio Fio-Dimensão 25*10*65 cm</t>
  </si>
  <si>
    <t>Meio Fio Rebaixo-Dimensão 15*10*65 cm</t>
  </si>
  <si>
    <t>Paver-Dimensão 10*06*20 cm</t>
  </si>
  <si>
    <t>Paver-Dimensão 10*08*20 cm</t>
  </si>
  <si>
    <t>Paver"S (16 faces)-Dimensão 10*08*20 cm</t>
  </si>
  <si>
    <t>MOTIVO_CANCELAMENTO</t>
  </si>
  <si>
    <t>Totais</t>
  </si>
  <si>
    <t>Data da Inclusão:</t>
  </si>
  <si>
    <t>QUANT. CONVERTIDA</t>
  </si>
  <si>
    <t>QUANT_CONVERTIDA</t>
  </si>
  <si>
    <t>PAINEL</t>
  </si>
  <si>
    <t>(Tudo)</t>
  </si>
  <si>
    <t>JULIANA LINO Total</t>
  </si>
  <si>
    <t xml:space="preserve">  QUANTIDADE</t>
  </si>
  <si>
    <t xml:space="preserve">  VALOR_TOTAL</t>
  </si>
  <si>
    <t>ANO</t>
  </si>
  <si>
    <t>DIA</t>
  </si>
  <si>
    <t>MÊS</t>
  </si>
  <si>
    <t>SEGUNDA</t>
  </si>
  <si>
    <t>TERÇA</t>
  </si>
  <si>
    <t>QUARTA</t>
  </si>
  <si>
    <t>QUINTA</t>
  </si>
  <si>
    <t>SEXTA</t>
  </si>
  <si>
    <t>SABADO</t>
  </si>
  <si>
    <t>DATA</t>
  </si>
  <si>
    <t>PRIMEIRO DIA</t>
  </si>
  <si>
    <t>DIA DA SEMANA</t>
  </si>
  <si>
    <t>ULTIMO DIA</t>
  </si>
  <si>
    <t>ESTOQUE DISPONIVEL</t>
  </si>
  <si>
    <t>fórmula filtro</t>
  </si>
  <si>
    <t>Endereço Entrega:</t>
  </si>
  <si>
    <t>ENDERECO_ENTREGA</t>
  </si>
  <si>
    <t>CONTATO_CLIENTE</t>
  </si>
  <si>
    <t>PONTO_DE_REFERENCIA</t>
  </si>
  <si>
    <t>ENDERECO</t>
  </si>
  <si>
    <t>Endereço:</t>
  </si>
  <si>
    <t>Bairro:</t>
  </si>
  <si>
    <t>Ponto Referência:</t>
  </si>
  <si>
    <t>CIDADE</t>
  </si>
  <si>
    <t>Contato Cliente:</t>
  </si>
  <si>
    <t>Cidade:</t>
  </si>
  <si>
    <t>e-mail:</t>
  </si>
  <si>
    <t>Telefone:</t>
  </si>
  <si>
    <t>NOME_CLIENTE</t>
  </si>
  <si>
    <t>teste 2</t>
  </si>
  <si>
    <t>teste 3</t>
  </si>
  <si>
    <t>teste 4</t>
  </si>
  <si>
    <t>email</t>
  </si>
  <si>
    <t>teste 1</t>
  </si>
  <si>
    <t>Adriano</t>
  </si>
  <si>
    <t>Joinville</t>
  </si>
  <si>
    <t>Rua teste</t>
  </si>
  <si>
    <t>Ponto teste</t>
  </si>
  <si>
    <t>Contato teste</t>
  </si>
  <si>
    <t>Bairro teste</t>
  </si>
  <si>
    <t>email@teste</t>
  </si>
  <si>
    <t>47 34343234</t>
  </si>
  <si>
    <t>rua teste</t>
  </si>
  <si>
    <t>ciadade teste</t>
  </si>
  <si>
    <t>ponto teste</t>
  </si>
  <si>
    <t>contato teste</t>
  </si>
  <si>
    <t>bairro teste</t>
  </si>
  <si>
    <t>47 32323232</t>
  </si>
  <si>
    <t>Joãozinho</t>
  </si>
  <si>
    <t>testes incluir</t>
  </si>
  <si>
    <t>teste incluir</t>
  </si>
  <si>
    <t>teste ref incluir</t>
  </si>
  <si>
    <t>contato incluir</t>
  </si>
  <si>
    <t>bairro incluir</t>
  </si>
  <si>
    <t>email@incluir</t>
  </si>
  <si>
    <t>teste modificar</t>
  </si>
  <si>
    <t>Teste incluir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</si>
</sst>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R$&quot;\ #,##0.00;\-&quot;R$&quot;\ #,##0.00"/>
    <numFmt numFmtId="43" formatCode="_-* #,##0.00_-;\-* #,##0.00_-;_-* &quot;-&quot;??_-;_-@_-"/>
    <numFmt numFmtId="164" formatCode="dd"/>
    <numFmt numFmtId="165" formatCode="&quot;R$&quot;\ #,##0.00"/>
    <numFmt numFmtId="166" formatCode="d"/>
  </numFmts>
  <fonts count="2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Calibri Light"/>
      <family val="2"/>
      <scheme val="major"/>
    </font>
    <font>
      <sz val="36"/>
      <color theme="4" tint="-0.24994659260841701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16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8"/>
      <color rgb="FF000000"/>
      <name val="Segoe UI"/>
      <family val="2"/>
    </font>
    <font>
      <u/>
      <sz val="11"/>
      <color theme="1"/>
      <name val="Calibri"/>
      <family val="2"/>
      <scheme val="minor"/>
    </font>
    <font>
      <b/>
      <sz val="11"/>
      <color theme="0"/>
      <name val="Bahnschrift"/>
      <family val="2"/>
    </font>
    <font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2"/>
      <color theme="4" tint="-0.24994659260841701"/>
      <name val="Calibri Light"/>
      <family val="1"/>
      <scheme val="major"/>
    </font>
    <font>
      <sz val="11"/>
      <color theme="4" tint="-0.24994659260841701"/>
      <name val="Calibri"/>
      <family val="2"/>
      <scheme val="minor"/>
    </font>
    <font>
      <sz val="35"/>
      <color theme="4"/>
      <name val="Calibri"/>
      <family val="2"/>
      <scheme val="minor"/>
    </font>
    <font>
      <sz val="11"/>
      <color theme="1"/>
      <name val="Bahnschrift"/>
      <family val="2"/>
    </font>
    <font>
      <sz val="10"/>
      <color theme="1"/>
      <name val="Bahnschrift"/>
      <family val="2"/>
    </font>
    <font>
      <b/>
      <sz val="11"/>
      <color theme="1"/>
      <name val="Bahnschrift"/>
      <family val="2"/>
    </font>
    <font>
      <sz val="14"/>
      <color theme="1"/>
      <name val="Bahnschrift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theme="0"/>
      </right>
      <top/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</borders>
  <cellStyleXfs count="21">
    <xf numFmtId="0" fontId="0" fillId="0" borderId="0"/>
    <xf numFmtId="0" fontId="3" fillId="0" borderId="0" applyFill="0" applyBorder="0" applyProtection="0"/>
    <xf numFmtId="0" fontId="4" fillId="2" borderId="0" applyNumberFormat="0" applyBorder="0" applyProtection="0">
      <alignment horizontal="center"/>
    </xf>
    <xf numFmtId="0" fontId="5" fillId="0" borderId="0" applyNumberFormat="0" applyFill="0" applyProtection="0">
      <alignment horizontal="left" indent="3"/>
    </xf>
    <xf numFmtId="0" fontId="6" fillId="3" borderId="2" applyNumberFormat="0" applyProtection="0">
      <alignment horizontal="left" vertical="center" indent="1"/>
    </xf>
    <xf numFmtId="0" fontId="6" fillId="2" borderId="2" applyNumberFormat="0" applyProtection="0">
      <alignment horizontal="left" indent="1"/>
    </xf>
    <xf numFmtId="164" fontId="7" fillId="0" borderId="3" applyFill="0" applyProtection="0">
      <alignment horizontal="left" vertical="center" wrapText="1" indent="1"/>
    </xf>
    <xf numFmtId="164" fontId="8" fillId="0" borderId="4" applyFill="0" applyProtection="0">
      <alignment horizontal="left" vertical="top" wrapText="1" indent="1"/>
    </xf>
    <xf numFmtId="164" fontId="3" fillId="0" borderId="5" applyNumberFormat="0" applyFill="0" applyProtection="0">
      <alignment horizontal="left" vertical="center" wrapText="1" indent="1"/>
    </xf>
    <xf numFmtId="164" fontId="2" fillId="0" borderId="0" applyNumberFormat="0" applyFill="0" applyProtection="0">
      <alignment horizontal="left" vertical="top" wrapText="1" indent="1"/>
    </xf>
    <xf numFmtId="43" fontId="2" fillId="0" borderId="0" applyFont="0" applyFill="0" applyBorder="0" applyAlignment="0" applyProtection="0"/>
    <xf numFmtId="0" fontId="14" fillId="0" borderId="0">
      <alignment vertical="top"/>
    </xf>
    <xf numFmtId="0" fontId="3" fillId="5" borderId="0" applyNumberFormat="0" applyFont="0" applyBorder="0" applyAlignment="0">
      <alignment horizontal="left" vertical="center" indent="1"/>
    </xf>
    <xf numFmtId="0" fontId="15" fillId="5" borderId="0" applyBorder="0" applyProtection="0">
      <alignment horizontal="left" vertical="top" wrapText="1" indent="1"/>
    </xf>
    <xf numFmtId="166" fontId="16" fillId="0" borderId="0">
      <alignment horizontal="left" indent="1"/>
    </xf>
    <xf numFmtId="0" fontId="17" fillId="0" borderId="0">
      <alignment horizontal="left" indent="1"/>
    </xf>
    <xf numFmtId="0" fontId="14" fillId="0" borderId="0" applyFill="0" applyProtection="0"/>
    <xf numFmtId="0" fontId="18" fillId="0" borderId="22" applyNumberFormat="0" applyFill="0" applyProtection="0">
      <alignment horizontal="left" vertical="center" indent="1"/>
    </xf>
    <xf numFmtId="0" fontId="18" fillId="0" borderId="0" applyFill="0" applyProtection="0"/>
    <xf numFmtId="0" fontId="19" fillId="0" borderId="0" applyFill="0" applyBorder="0" applyProtection="0">
      <alignment vertical="center"/>
    </xf>
    <xf numFmtId="0" fontId="24" fillId="0" borderId="0" applyNumberFormat="0" applyFill="0" applyBorder="0" applyAlignment="0" applyProtection="0"/>
  </cellStyleXfs>
  <cellXfs count="136">
    <xf numFmtId="0" fontId="0" fillId="0" borderId="0" xfId="0"/>
    <xf numFmtId="0" fontId="0" fillId="0" borderId="0" xfId="0" applyBorder="1"/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 indent="1"/>
    </xf>
    <xf numFmtId="0" fontId="9" fillId="0" borderId="0" xfId="0" applyFont="1" applyAlignment="1">
      <alignment horizontal="right" vertical="center" indent="1"/>
    </xf>
    <xf numFmtId="0" fontId="9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right" vertical="center" indent="1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horizontal="left" vertical="center" indent="1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9" fillId="0" borderId="0" xfId="0" applyFont="1" applyAlignment="1">
      <alignment horizontal="right" indent="1"/>
    </xf>
    <xf numFmtId="0" fontId="9" fillId="0" borderId="0" xfId="0" applyFont="1" applyAlignment="1">
      <alignment horizontal="left" indent="1"/>
    </xf>
    <xf numFmtId="0" fontId="9" fillId="0" borderId="0" xfId="0" applyFont="1" applyAlignment="1">
      <alignment horizontal="center"/>
    </xf>
    <xf numFmtId="14" fontId="0" fillId="0" borderId="0" xfId="0" applyNumberFormat="1"/>
    <xf numFmtId="43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Border="1" applyAlignment="1">
      <alignment horizontal="left" vertical="center"/>
    </xf>
    <xf numFmtId="43" fontId="0" fillId="4" borderId="0" xfId="0" applyNumberFormat="1" applyFill="1" applyBorder="1"/>
    <xf numFmtId="0" fontId="0" fillId="5" borderId="6" xfId="0" applyFill="1" applyBorder="1"/>
    <xf numFmtId="0" fontId="0" fillId="0" borderId="8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6" borderId="8" xfId="0" applyFill="1" applyBorder="1"/>
    <xf numFmtId="43" fontId="0" fillId="5" borderId="6" xfId="0" applyNumberFormat="1" applyFill="1" applyBorder="1"/>
    <xf numFmtId="0" fontId="0" fillId="5" borderId="6" xfId="0" applyNumberFormat="1" applyFill="1" applyBorder="1" applyAlignment="1">
      <alignment horizontal="left" vertical="center"/>
    </xf>
    <xf numFmtId="0" fontId="0" fillId="4" borderId="0" xfId="0" applyFill="1" applyBorder="1" applyAlignment="1">
      <alignment horizontal="right"/>
    </xf>
    <xf numFmtId="0" fontId="0" fillId="5" borderId="6" xfId="0" applyFill="1" applyBorder="1" applyAlignment="1">
      <alignment horizontal="left"/>
    </xf>
    <xf numFmtId="0" fontId="0" fillId="5" borderId="6" xfId="0" applyFill="1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8" xfId="0" applyBorder="1"/>
    <xf numFmtId="0" fontId="0" fillId="0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/>
    </xf>
    <xf numFmtId="7" fontId="0" fillId="0" borderId="0" xfId="0" applyNumberForma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 applyFont="1"/>
    <xf numFmtId="0" fontId="0" fillId="8" borderId="0" xfId="0" applyFill="1"/>
    <xf numFmtId="0" fontId="0" fillId="8" borderId="0" xfId="0" applyFill="1" applyAlignment="1">
      <alignment horizontal="left" indent="2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4" fontId="0" fillId="5" borderId="6" xfId="0" applyNumberFormat="1" applyFill="1" applyBorder="1" applyAlignment="1">
      <alignment horizontal="center"/>
    </xf>
    <xf numFmtId="0" fontId="20" fillId="0" borderId="0" xfId="0" applyFont="1"/>
    <xf numFmtId="0" fontId="20" fillId="0" borderId="0" xfId="0" applyFont="1" applyBorder="1" applyAlignment="1">
      <alignment horizontal="right"/>
    </xf>
    <xf numFmtId="0" fontId="20" fillId="0" borderId="1" xfId="0" applyFont="1" applyBorder="1" applyAlignment="1">
      <alignment horizontal="right"/>
    </xf>
    <xf numFmtId="0" fontId="21" fillId="0" borderId="0" xfId="0" applyFont="1"/>
    <xf numFmtId="0" fontId="20" fillId="0" borderId="10" xfId="0" applyFont="1" applyBorder="1" applyAlignment="1">
      <alignment horizontal="center"/>
    </xf>
    <xf numFmtId="0" fontId="20" fillId="0" borderId="6" xfId="0" applyFont="1" applyBorder="1"/>
    <xf numFmtId="0" fontId="20" fillId="5" borderId="10" xfId="0" applyFont="1" applyFill="1" applyBorder="1" applyAlignment="1">
      <alignment horizontal="center"/>
    </xf>
    <xf numFmtId="0" fontId="20" fillId="5" borderId="6" xfId="0" applyFont="1" applyFill="1" applyBorder="1"/>
    <xf numFmtId="0" fontId="21" fillId="5" borderId="13" xfId="0" applyFont="1" applyFill="1" applyBorder="1" applyAlignment="1">
      <alignment horizontal="center"/>
    </xf>
    <xf numFmtId="0" fontId="21" fillId="5" borderId="14" xfId="0" applyFont="1" applyFill="1" applyBorder="1"/>
    <xf numFmtId="0" fontId="21" fillId="0" borderId="10" xfId="0" applyFont="1" applyBorder="1" applyAlignment="1">
      <alignment horizontal="center"/>
    </xf>
    <xf numFmtId="0" fontId="21" fillId="0" borderId="6" xfId="0" applyFont="1" applyBorder="1"/>
    <xf numFmtId="0" fontId="21" fillId="5" borderId="10" xfId="0" applyFont="1" applyFill="1" applyBorder="1" applyAlignment="1">
      <alignment horizontal="center"/>
    </xf>
    <xf numFmtId="0" fontId="21" fillId="5" borderId="6" xfId="0" applyFont="1" applyFill="1" applyBorder="1"/>
    <xf numFmtId="0" fontId="22" fillId="6" borderId="17" xfId="0" applyFont="1" applyFill="1" applyBorder="1" applyAlignment="1">
      <alignment horizontal="center"/>
    </xf>
    <xf numFmtId="0" fontId="22" fillId="6" borderId="18" xfId="0" applyFont="1" applyFill="1" applyBorder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0" fillId="5" borderId="14" xfId="0" applyFont="1" applyFill="1" applyBorder="1" applyAlignment="1">
      <alignment horizontal="center"/>
    </xf>
    <xf numFmtId="165" fontId="20" fillId="5" borderId="14" xfId="0" applyNumberFormat="1" applyFont="1" applyFill="1" applyBorder="1" applyAlignment="1">
      <alignment horizontal="center"/>
    </xf>
    <xf numFmtId="165" fontId="20" fillId="5" borderId="15" xfId="0" applyNumberFormat="1" applyFont="1" applyFill="1" applyBorder="1" applyAlignment="1">
      <alignment horizontal="center"/>
    </xf>
    <xf numFmtId="0" fontId="20" fillId="0" borderId="6" xfId="0" applyFont="1" applyBorder="1" applyAlignment="1">
      <alignment horizontal="center"/>
    </xf>
    <xf numFmtId="165" fontId="20" fillId="0" borderId="6" xfId="0" applyNumberFormat="1" applyFont="1" applyBorder="1" applyAlignment="1">
      <alignment horizontal="center"/>
    </xf>
    <xf numFmtId="165" fontId="20" fillId="0" borderId="20" xfId="0" applyNumberFormat="1" applyFont="1" applyBorder="1" applyAlignment="1">
      <alignment horizontal="center"/>
    </xf>
    <xf numFmtId="0" fontId="20" fillId="5" borderId="6" xfId="0" applyFont="1" applyFill="1" applyBorder="1" applyAlignment="1">
      <alignment horizontal="center"/>
    </xf>
    <xf numFmtId="165" fontId="20" fillId="5" borderId="6" xfId="0" applyNumberFormat="1" applyFont="1" applyFill="1" applyBorder="1" applyAlignment="1">
      <alignment horizontal="center"/>
    </xf>
    <xf numFmtId="165" fontId="20" fillId="5" borderId="20" xfId="0" applyNumberFormat="1" applyFont="1" applyFill="1" applyBorder="1" applyAlignment="1">
      <alignment horizontal="center"/>
    </xf>
    <xf numFmtId="0" fontId="20" fillId="5" borderId="11" xfId="0" applyFont="1" applyFill="1" applyBorder="1" applyAlignment="1">
      <alignment horizontal="center"/>
    </xf>
    <xf numFmtId="0" fontId="20" fillId="5" borderId="12" xfId="0" applyFont="1" applyFill="1" applyBorder="1"/>
    <xf numFmtId="0" fontId="20" fillId="5" borderId="12" xfId="0" applyFont="1" applyFill="1" applyBorder="1" applyAlignment="1">
      <alignment horizontal="center"/>
    </xf>
    <xf numFmtId="165" fontId="20" fillId="5" borderId="12" xfId="0" applyNumberFormat="1" applyFont="1" applyFill="1" applyBorder="1" applyAlignment="1">
      <alignment horizontal="center"/>
    </xf>
    <xf numFmtId="165" fontId="20" fillId="5" borderId="21" xfId="0" applyNumberFormat="1" applyFont="1" applyFill="1" applyBorder="1" applyAlignment="1">
      <alignment horizontal="center"/>
    </xf>
    <xf numFmtId="0" fontId="20" fillId="0" borderId="9" xfId="0" applyFont="1" applyBorder="1" applyAlignment="1"/>
    <xf numFmtId="0" fontId="23" fillId="0" borderId="16" xfId="0" applyFont="1" applyBorder="1" applyAlignment="1">
      <alignment horizontal="left" vertical="center"/>
    </xf>
    <xf numFmtId="0" fontId="23" fillId="0" borderId="16" xfId="0" applyFont="1" applyBorder="1" applyAlignment="1">
      <alignment horizontal="center" vertical="center"/>
    </xf>
    <xf numFmtId="165" fontId="23" fillId="0" borderId="8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right"/>
    </xf>
    <xf numFmtId="0" fontId="22" fillId="0" borderId="0" xfId="0" applyFont="1"/>
    <xf numFmtId="0" fontId="22" fillId="0" borderId="1" xfId="0" applyFont="1" applyBorder="1" applyAlignment="1">
      <alignment horizontal="right"/>
    </xf>
    <xf numFmtId="0" fontId="22" fillId="4" borderId="0" xfId="0" applyFont="1" applyFill="1" applyBorder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0" borderId="0" xfId="0" applyFont="1" applyAlignment="1">
      <alignment horizontal="right" vertical="top"/>
    </xf>
    <xf numFmtId="0" fontId="22" fillId="0" borderId="0" xfId="0" applyFont="1" applyAlignment="1">
      <alignment horizontal="right"/>
    </xf>
    <xf numFmtId="0" fontId="20" fillId="0" borderId="0" xfId="0" applyFont="1" applyBorder="1" applyAlignment="1">
      <alignment horizontal="left" vertical="center"/>
    </xf>
    <xf numFmtId="0" fontId="20" fillId="0" borderId="0" xfId="0" applyFont="1" applyFill="1" applyBorder="1" applyAlignment="1">
      <alignment horizontal="right"/>
    </xf>
    <xf numFmtId="0" fontId="20" fillId="0" borderId="0" xfId="0" applyFont="1" applyFill="1" applyBorder="1" applyAlignment="1"/>
    <xf numFmtId="0" fontId="20" fillId="0" borderId="0" xfId="0" applyFont="1" applyFill="1" applyBorder="1"/>
    <xf numFmtId="14" fontId="20" fillId="0" borderId="0" xfId="0" applyNumberFormat="1" applyFont="1"/>
    <xf numFmtId="0" fontId="20" fillId="5" borderId="14" xfId="0" applyNumberFormat="1" applyFont="1" applyFill="1" applyBorder="1" applyAlignment="1">
      <alignment horizontal="center"/>
    </xf>
    <xf numFmtId="0" fontId="20" fillId="0" borderId="6" xfId="0" applyNumberFormat="1" applyFont="1" applyBorder="1" applyAlignment="1">
      <alignment horizontal="center"/>
    </xf>
    <xf numFmtId="0" fontId="20" fillId="5" borderId="6" xfId="0" applyNumberFormat="1" applyFont="1" applyFill="1" applyBorder="1" applyAlignment="1">
      <alignment horizontal="center"/>
    </xf>
    <xf numFmtId="0" fontId="20" fillId="5" borderId="12" xfId="0" applyNumberFormat="1" applyFont="1" applyFill="1" applyBorder="1" applyAlignment="1">
      <alignment horizontal="center"/>
    </xf>
    <xf numFmtId="0" fontId="21" fillId="0" borderId="0" xfId="0" pivotButton="1" applyFont="1"/>
    <xf numFmtId="3" fontId="21" fillId="0" borderId="0" xfId="0" applyNumberFormat="1" applyFont="1"/>
    <xf numFmtId="4" fontId="21" fillId="0" borderId="0" xfId="0" applyNumberFormat="1" applyFont="1"/>
    <xf numFmtId="0" fontId="21" fillId="0" borderId="8" xfId="0" applyFont="1" applyBorder="1" applyAlignment="1">
      <alignment horizontal="center"/>
    </xf>
    <xf numFmtId="4" fontId="21" fillId="0" borderId="8" xfId="0" applyNumberFormat="1" applyFont="1" applyBorder="1" applyAlignment="1">
      <alignment horizontal="center"/>
    </xf>
    <xf numFmtId="0" fontId="21" fillId="0" borderId="7" xfId="0" applyFont="1" applyBorder="1"/>
    <xf numFmtId="4" fontId="21" fillId="0" borderId="7" xfId="10" applyNumberFormat="1" applyFont="1" applyBorder="1"/>
    <xf numFmtId="4" fontId="21" fillId="0" borderId="6" xfId="10" applyNumberFormat="1" applyFont="1" applyBorder="1"/>
    <xf numFmtId="4" fontId="21" fillId="0" borderId="6" xfId="0" applyNumberFormat="1" applyFont="1" applyBorder="1"/>
    <xf numFmtId="0" fontId="0" fillId="0" borderId="8" xfId="0" applyFill="1" applyBorder="1" applyAlignment="1">
      <alignment horizontal="left"/>
    </xf>
    <xf numFmtId="0" fontId="0" fillId="0" borderId="0" xfId="0" applyNumberForma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5" borderId="6" xfId="0" applyNumberFormat="1" applyFont="1" applyFill="1" applyBorder="1" applyAlignment="1">
      <alignment horizontal="left" vertical="center"/>
    </xf>
    <xf numFmtId="0" fontId="0" fillId="0" borderId="8" xfId="0" applyFont="1" applyBorder="1" applyAlignment="1">
      <alignment horizontal="center"/>
    </xf>
    <xf numFmtId="0" fontId="0" fillId="0" borderId="8" xfId="0" applyFont="1" applyFill="1" applyBorder="1" applyAlignment="1">
      <alignment horizontal="left"/>
    </xf>
    <xf numFmtId="0" fontId="0" fillId="0" borderId="0" xfId="0" applyFont="1" applyBorder="1" applyAlignment="1">
      <alignment horizontal="center"/>
    </xf>
    <xf numFmtId="14" fontId="0" fillId="5" borderId="6" xfId="0" applyNumberFormat="1" applyFill="1" applyBorder="1" applyAlignment="1">
      <alignment horizontal="left"/>
    </xf>
    <xf numFmtId="14" fontId="24" fillId="5" borderId="6" xfId="20" applyNumberFormat="1" applyFill="1" applyBorder="1" applyAlignment="1">
      <alignment horizontal="left"/>
    </xf>
    <xf numFmtId="0" fontId="0" fillId="5" borderId="6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14" fontId="0" fillId="0" borderId="0" xfId="0" applyNumberFormat="1" applyBorder="1" applyAlignment="1">
      <alignment horizontal="left"/>
    </xf>
    <xf numFmtId="14" fontId="20" fillId="5" borderId="6" xfId="0" applyNumberFormat="1" applyFont="1" applyFill="1" applyBorder="1" applyAlignment="1">
      <alignment horizontal="center"/>
    </xf>
    <xf numFmtId="14" fontId="0" fillId="0" borderId="0" xfId="0" applyNumberFormat="1" applyBorder="1" applyAlignment="1">
      <alignment horizontal="left" vertical="center"/>
    </xf>
    <xf numFmtId="0" fontId="13" fillId="7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21">
    <cellStyle name="Anotações" xfId="9"/>
    <cellStyle name="Cabeçalho das Anotações" xfId="8"/>
    <cellStyle name="Detalhes do dia" xfId="7"/>
    <cellStyle name="Dia" xfId="6"/>
    <cellStyle name="Dia 2" xfId="14"/>
    <cellStyle name="Em tiras" xfId="12"/>
    <cellStyle name="Entrada de configurações" xfId="15"/>
    <cellStyle name="Hiperlink" xfId="20" builtinId="8"/>
    <cellStyle name="Normal" xfId="0" builtinId="0"/>
    <cellStyle name="Normal 2" xfId="1"/>
    <cellStyle name="Normal 3" xfId="11"/>
    <cellStyle name="Título 1 2" xfId="3"/>
    <cellStyle name="Título 1 3" xfId="17"/>
    <cellStyle name="Título 2 2" xfId="4"/>
    <cellStyle name="Título 2 3" xfId="18"/>
    <cellStyle name="Título 3 2" xfId="5"/>
    <cellStyle name="Título 3 3" xfId="16"/>
    <cellStyle name="Título 4 2" xfId="13"/>
    <cellStyle name="Título 5" xfId="2"/>
    <cellStyle name="Título 6" xfId="19"/>
    <cellStyle name="Vírgula" xfId="10" builtinId="3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79998168889431442"/>
        </patternFill>
      </fill>
    </dxf>
    <dxf>
      <font>
        <strike/>
        <color theme="1" tint="0.3499862666707357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ill>
        <patternFill>
          <bgColor theme="0" tint="-4.9989318521683403E-2"/>
        </patternFill>
      </fill>
    </dxf>
    <dxf>
      <font>
        <b/>
        <i val="0"/>
        <strike val="0"/>
        <color theme="0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Tabela de empresas" pivot="0" count="3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</xdr:row>
          <xdr:rowOff>0</xdr:rowOff>
        </xdr:from>
        <xdr:to>
          <xdr:col>18</xdr:col>
          <xdr:colOff>257175</xdr:colOff>
          <xdr:row>34</xdr:row>
          <xdr:rowOff>57150</xdr:rowOff>
        </xdr:to>
        <xdr:sp macro="" textlink="">
          <xdr:nvSpPr>
            <xdr:cNvPr id="16385" name="Group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Painel Principal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581025</xdr:colOff>
      <xdr:row>10</xdr:row>
      <xdr:rowOff>28575</xdr:rowOff>
    </xdr:from>
    <xdr:to>
      <xdr:col>6</xdr:col>
      <xdr:colOff>542925</xdr:colOff>
      <xdr:row>14</xdr:row>
      <xdr:rowOff>142875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2409825" y="1933575"/>
          <a:ext cx="1790700" cy="876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Bahnschrift" panose="020B0502040204020203" pitchFamily="34" charset="0"/>
            </a:rPr>
            <a:t>PLANO DE VENDAS &amp;</a:t>
          </a:r>
          <a:r>
            <a:rPr lang="pt-BR" sz="1400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ESTOQUES</a:t>
          </a:r>
          <a:endParaRPr lang="pt-BR" sz="1400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7</xdr:col>
      <xdr:colOff>104775</xdr:colOff>
      <xdr:row>10</xdr:row>
      <xdr:rowOff>38100</xdr:rowOff>
    </xdr:from>
    <xdr:to>
      <xdr:col>10</xdr:col>
      <xdr:colOff>66675</xdr:colOff>
      <xdr:row>14</xdr:row>
      <xdr:rowOff>152400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4371975" y="1943100"/>
          <a:ext cx="1790700" cy="8763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Bahnschrift" panose="020B0502040204020203" pitchFamily="34" charset="0"/>
            </a:rPr>
            <a:t>PLANO DE PAGAMENTOS</a:t>
          </a:r>
        </a:p>
      </xdr:txBody>
    </xdr:sp>
    <xdr:clientData/>
  </xdr:twoCellAnchor>
  <xdr:twoCellAnchor>
    <xdr:from>
      <xdr:col>10</xdr:col>
      <xdr:colOff>285750</xdr:colOff>
      <xdr:row>10</xdr:row>
      <xdr:rowOff>38100</xdr:rowOff>
    </xdr:from>
    <xdr:to>
      <xdr:col>13</xdr:col>
      <xdr:colOff>247650</xdr:colOff>
      <xdr:row>14</xdr:row>
      <xdr:rowOff>152400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6381750" y="1943100"/>
          <a:ext cx="1790700" cy="8763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Bahnschrift" panose="020B0502040204020203" pitchFamily="34" charset="0"/>
            </a:rPr>
            <a:t>DRE</a:t>
          </a:r>
        </a:p>
      </xdr:txBody>
    </xdr:sp>
    <xdr:clientData/>
  </xdr:twoCellAnchor>
  <xdr:twoCellAnchor>
    <xdr:from>
      <xdr:col>10</xdr:col>
      <xdr:colOff>238125</xdr:colOff>
      <xdr:row>4</xdr:row>
      <xdr:rowOff>152400</xdr:rowOff>
    </xdr:from>
    <xdr:to>
      <xdr:col>13</xdr:col>
      <xdr:colOff>200025</xdr:colOff>
      <xdr:row>9</xdr:row>
      <xdr:rowOff>76200</xdr:rowOff>
    </xdr:to>
    <xdr:sp macro="[0]!btn_acessa_cadastro_estoque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6334125" y="914400"/>
          <a:ext cx="1790700" cy="876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Bahnschrift" panose="020B0502040204020203" pitchFamily="34" charset="0"/>
            </a:rPr>
            <a:t>CADASTRO DE ESTOQUES</a:t>
          </a:r>
        </a:p>
      </xdr:txBody>
    </xdr:sp>
    <xdr:clientData/>
  </xdr:twoCellAnchor>
  <xdr:twoCellAnchor>
    <xdr:from>
      <xdr:col>7</xdr:col>
      <xdr:colOff>95250</xdr:colOff>
      <xdr:row>4</xdr:row>
      <xdr:rowOff>152400</xdr:rowOff>
    </xdr:from>
    <xdr:to>
      <xdr:col>10</xdr:col>
      <xdr:colOff>57150</xdr:colOff>
      <xdr:row>9</xdr:row>
      <xdr:rowOff>76200</xdr:rowOff>
    </xdr:to>
    <xdr:sp macro="[0]!btn_acessa_cadastro_pedidos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4362450" y="914400"/>
          <a:ext cx="1790700" cy="876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Bahnschrift" panose="020B0502040204020203" pitchFamily="34" charset="0"/>
            </a:rPr>
            <a:t>CADASTRO</a:t>
          </a:r>
          <a:r>
            <a:rPr lang="pt-BR" sz="1400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DE PEDIDOS</a:t>
          </a:r>
          <a:endParaRPr lang="pt-BR" sz="1400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3</xdr:col>
      <xdr:colOff>542925</xdr:colOff>
      <xdr:row>4</xdr:row>
      <xdr:rowOff>142875</xdr:rowOff>
    </xdr:from>
    <xdr:to>
      <xdr:col>6</xdr:col>
      <xdr:colOff>504825</xdr:colOff>
      <xdr:row>9</xdr:row>
      <xdr:rowOff>66675</xdr:rowOff>
    </xdr:to>
    <xdr:sp macro="[0]!btn_acessa_cadastro_clientes" textlink="">
      <xdr:nvSpPr>
        <xdr:cNvPr id="10" name="Retângulo de cantos arredondados 15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2371725" y="904875"/>
          <a:ext cx="1790700" cy="8763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ysClr val="windowText" lastClr="000000"/>
              </a:solidFill>
              <a:latin typeface="Bahnschrift" panose="020B0502040204020203" pitchFamily="34" charset="0"/>
            </a:rPr>
            <a:t>CADASTRO</a:t>
          </a:r>
          <a:r>
            <a:rPr lang="pt-BR" sz="1400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DE CLIENTES</a:t>
          </a:r>
          <a:endParaRPr lang="pt-BR" sz="1400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11</xdr:col>
      <xdr:colOff>85725</xdr:colOff>
      <xdr:row>15</xdr:row>
      <xdr:rowOff>19050</xdr:rowOff>
    </xdr:from>
    <xdr:to>
      <xdr:col>11</xdr:col>
      <xdr:colOff>381000</xdr:colOff>
      <xdr:row>16</xdr:row>
      <xdr:rowOff>104775</xdr:rowOff>
    </xdr:to>
    <xdr:sp macro="" textlink="">
      <xdr:nvSpPr>
        <xdr:cNvPr id="17" name="Seta: para a Direita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 rot="16200000">
          <a:off x="6800850" y="2867025"/>
          <a:ext cx="276225" cy="2952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295275</xdr:colOff>
      <xdr:row>16</xdr:row>
      <xdr:rowOff>47624</xdr:rowOff>
    </xdr:from>
    <xdr:to>
      <xdr:col>11</xdr:col>
      <xdr:colOff>295275</xdr:colOff>
      <xdr:row>19</xdr:row>
      <xdr:rowOff>133349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5781675" y="3095624"/>
          <a:ext cx="1219200" cy="6572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ESTE NÃO HABILITADO</a:t>
          </a:r>
          <a:endParaRPr lang="pt-BR" sz="1000"/>
        </a:p>
      </xdr:txBody>
    </xdr:sp>
    <xdr:clientData/>
  </xdr:twoCellAnchor>
  <xdr:twoCellAnchor>
    <xdr:from>
      <xdr:col>9</xdr:col>
      <xdr:colOff>180975</xdr:colOff>
      <xdr:row>15</xdr:row>
      <xdr:rowOff>0</xdr:rowOff>
    </xdr:from>
    <xdr:to>
      <xdr:col>9</xdr:col>
      <xdr:colOff>476250</xdr:colOff>
      <xdr:row>16</xdr:row>
      <xdr:rowOff>85725</xdr:rowOff>
    </xdr:to>
    <xdr:sp macro="" textlink="">
      <xdr:nvSpPr>
        <xdr:cNvPr id="19" name="Seta: para a Direita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 rot="16200000">
          <a:off x="5676900" y="2847975"/>
          <a:ext cx="276225" cy="2952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6</xdr:col>
          <xdr:colOff>200025</xdr:colOff>
          <xdr:row>14</xdr:row>
          <xdr:rowOff>28575</xdr:rowOff>
        </xdr:to>
        <xdr:sp macro="" textlink="">
          <xdr:nvSpPr>
            <xdr:cNvPr id="29697" name="Group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Principais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123825</xdr:rowOff>
        </xdr:from>
        <xdr:to>
          <xdr:col>6</xdr:col>
          <xdr:colOff>190500</xdr:colOff>
          <xdr:row>4</xdr:row>
          <xdr:rowOff>104775</xdr:rowOff>
        </xdr:to>
        <xdr:sp macro="" textlink="">
          <xdr:nvSpPr>
            <xdr:cNvPr id="29699" name="Group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 Menu - Cadastro Clientes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381000</xdr:colOff>
      <xdr:row>1</xdr:row>
      <xdr:rowOff>66676</xdr:rowOff>
    </xdr:from>
    <xdr:to>
      <xdr:col>10</xdr:col>
      <xdr:colOff>19050</xdr:colOff>
      <xdr:row>4</xdr:row>
      <xdr:rowOff>107910</xdr:rowOff>
    </xdr:to>
    <xdr:sp macro="[0]!btn_acessa_painel_principal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9572625" y="257176"/>
          <a:ext cx="1466850" cy="61273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RETORNAR</a:t>
          </a:r>
          <a:r>
            <a:rPr lang="pt-BR" sz="12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AO PAINEL</a:t>
          </a:r>
          <a:endParaRPr lang="pt-BR" sz="1200" b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8</xdr:row>
      <xdr:rowOff>133349</xdr:rowOff>
    </xdr:from>
    <xdr:to>
      <xdr:col>10</xdr:col>
      <xdr:colOff>19050</xdr:colOff>
      <xdr:row>11</xdr:row>
      <xdr:rowOff>133350</xdr:rowOff>
    </xdr:to>
    <xdr:sp macro="[0]!btn_acessa_cadastro_estoque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9572625" y="1657349"/>
          <a:ext cx="1466850" cy="571501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CADASTRO DE ESTOQUE</a:t>
          </a:r>
        </a:p>
      </xdr:txBody>
    </xdr:sp>
    <xdr:clientData/>
  </xdr:twoCellAnchor>
  <xdr:twoCellAnchor>
    <xdr:from>
      <xdr:col>7</xdr:col>
      <xdr:colOff>381000</xdr:colOff>
      <xdr:row>12</xdr:row>
      <xdr:rowOff>57151</xdr:rowOff>
    </xdr:from>
    <xdr:to>
      <xdr:col>10</xdr:col>
      <xdr:colOff>19050</xdr:colOff>
      <xdr:row>16</xdr:row>
      <xdr:rowOff>9525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9572625" y="2343151"/>
          <a:ext cx="1466850" cy="61912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Bahnschrift" panose="020B0502040204020203" pitchFamily="34" charset="0"/>
            </a:rPr>
            <a:t>PLANO DE VENDA &amp; ESTOQUE</a:t>
          </a:r>
        </a:p>
      </xdr:txBody>
    </xdr:sp>
    <xdr:clientData/>
  </xdr:twoCellAnchor>
  <xdr:twoCellAnchor>
    <xdr:from>
      <xdr:col>7</xdr:col>
      <xdr:colOff>381000</xdr:colOff>
      <xdr:row>16</xdr:row>
      <xdr:rowOff>152400</xdr:rowOff>
    </xdr:from>
    <xdr:to>
      <xdr:col>10</xdr:col>
      <xdr:colOff>19050</xdr:colOff>
      <xdr:row>20</xdr:row>
      <xdr:rowOff>57150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9572625" y="3105150"/>
          <a:ext cx="1466850" cy="666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PLANO DE PAGAMENTOS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</xdr:row>
          <xdr:rowOff>142875</xdr:rowOff>
        </xdr:from>
        <xdr:to>
          <xdr:col>2</xdr:col>
          <xdr:colOff>371475</xdr:colOff>
          <xdr:row>3</xdr:row>
          <xdr:rowOff>76200</xdr:rowOff>
        </xdr:to>
        <xdr:sp macro="" textlink="">
          <xdr:nvSpPr>
            <xdr:cNvPr id="29710" name="btn_incluir_cliente" hidden="1">
              <a:extLst>
                <a:ext uri="{63B3BB69-23CF-44E3-9099-C40C66FF867C}">
                  <a14:compatExt spid="_x0000_s29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</xdr:row>
          <xdr:rowOff>142875</xdr:rowOff>
        </xdr:from>
        <xdr:to>
          <xdr:col>2</xdr:col>
          <xdr:colOff>1819275</xdr:colOff>
          <xdr:row>3</xdr:row>
          <xdr:rowOff>76200</xdr:rowOff>
        </xdr:to>
        <xdr:sp macro="" textlink="">
          <xdr:nvSpPr>
            <xdr:cNvPr id="29712" name="btn_modifica_cliente" hidden="1">
              <a:extLst>
                <a:ext uri="{63B3BB69-23CF-44E3-9099-C40C66FF867C}">
                  <a14:compatExt spid="_x0000_s2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1</xdr:row>
          <xdr:rowOff>142875</xdr:rowOff>
        </xdr:from>
        <xdr:to>
          <xdr:col>3</xdr:col>
          <xdr:colOff>781050</xdr:colOff>
          <xdr:row>3</xdr:row>
          <xdr:rowOff>76200</xdr:rowOff>
        </xdr:to>
        <xdr:sp macro="" textlink="">
          <xdr:nvSpPr>
            <xdr:cNvPr id="29713" name="btn_pesquisa_cliente" hidden="1">
              <a:extLst>
                <a:ext uri="{63B3BB69-23CF-44E3-9099-C40C66FF867C}">
                  <a14:compatExt spid="_x0000_s2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981075</xdr:colOff>
          <xdr:row>1</xdr:row>
          <xdr:rowOff>142875</xdr:rowOff>
        </xdr:from>
        <xdr:to>
          <xdr:col>5</xdr:col>
          <xdr:colOff>323850</xdr:colOff>
          <xdr:row>3</xdr:row>
          <xdr:rowOff>76200</xdr:rowOff>
        </xdr:to>
        <xdr:sp macro="" textlink="">
          <xdr:nvSpPr>
            <xdr:cNvPr id="29714" name="btn_cancelar_cliente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1</xdr:row>
          <xdr:rowOff>142875</xdr:rowOff>
        </xdr:from>
        <xdr:to>
          <xdr:col>4</xdr:col>
          <xdr:colOff>895350</xdr:colOff>
          <xdr:row>3</xdr:row>
          <xdr:rowOff>76200</xdr:rowOff>
        </xdr:to>
        <xdr:sp macro="" textlink="">
          <xdr:nvSpPr>
            <xdr:cNvPr id="29715" name="btn_confirma_cliente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381000</xdr:colOff>
      <xdr:row>5</xdr:row>
      <xdr:rowOff>0</xdr:rowOff>
    </xdr:from>
    <xdr:to>
      <xdr:col>10</xdr:col>
      <xdr:colOff>19050</xdr:colOff>
      <xdr:row>8</xdr:row>
      <xdr:rowOff>1</xdr:rowOff>
    </xdr:to>
    <xdr:sp macro="[0]!btn_acessa_cadastro_pedidos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9572625" y="952500"/>
          <a:ext cx="1466850" cy="571501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CADASTRO DE PEDIDOS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5</xdr:row>
          <xdr:rowOff>19050</xdr:rowOff>
        </xdr:from>
        <xdr:to>
          <xdr:col>6</xdr:col>
          <xdr:colOff>104775</xdr:colOff>
          <xdr:row>16</xdr:row>
          <xdr:rowOff>19050</xdr:rowOff>
        </xdr:to>
        <xdr:sp macro="" textlink="">
          <xdr:nvSpPr>
            <xdr:cNvPr id="1037" name="Group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Principais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16</xdr:row>
          <xdr:rowOff>133350</xdr:rowOff>
        </xdr:from>
        <xdr:to>
          <xdr:col>6</xdr:col>
          <xdr:colOff>104775</xdr:colOff>
          <xdr:row>48</xdr:row>
          <xdr:rowOff>95250</xdr:rowOff>
        </xdr:to>
        <xdr:sp macro="" textlink="">
          <xdr:nvSpPr>
            <xdr:cNvPr id="1040" name="Group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Materiais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0</xdr:row>
          <xdr:rowOff>123825</xdr:rowOff>
        </xdr:from>
        <xdr:to>
          <xdr:col>6</xdr:col>
          <xdr:colOff>104775</xdr:colOff>
          <xdr:row>4</xdr:row>
          <xdr:rowOff>104775</xdr:rowOff>
        </xdr:to>
        <xdr:sp macro="" textlink="">
          <xdr:nvSpPr>
            <xdr:cNvPr id="1041" name="Group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 Menu - Cadastro Pedidos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</xdr:row>
          <xdr:rowOff>133350</xdr:rowOff>
        </xdr:from>
        <xdr:to>
          <xdr:col>2</xdr:col>
          <xdr:colOff>361950</xdr:colOff>
          <xdr:row>3</xdr:row>
          <xdr:rowOff>66675</xdr:rowOff>
        </xdr:to>
        <xdr:sp macro="" textlink="">
          <xdr:nvSpPr>
            <xdr:cNvPr id="1078" name="btn_incluir" descr="te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xmlns="" id="{00000000-0008-0000-02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1</xdr:row>
          <xdr:rowOff>133350</xdr:rowOff>
        </xdr:from>
        <xdr:to>
          <xdr:col>2</xdr:col>
          <xdr:colOff>1828800</xdr:colOff>
          <xdr:row>3</xdr:row>
          <xdr:rowOff>66675</xdr:rowOff>
        </xdr:to>
        <xdr:sp macro="" textlink="">
          <xdr:nvSpPr>
            <xdr:cNvPr id="1080" name="btn_modificar" descr="te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xmlns="" id="{00000000-0008-0000-02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1895475</xdr:colOff>
          <xdr:row>1</xdr:row>
          <xdr:rowOff>133350</xdr:rowOff>
        </xdr:from>
        <xdr:to>
          <xdr:col>3</xdr:col>
          <xdr:colOff>800100</xdr:colOff>
          <xdr:row>3</xdr:row>
          <xdr:rowOff>66675</xdr:rowOff>
        </xdr:to>
        <xdr:sp macro="" textlink="">
          <xdr:nvSpPr>
            <xdr:cNvPr id="1081" name="btn_pesquisar" descr="teste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xmlns="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971550</xdr:colOff>
          <xdr:row>1</xdr:row>
          <xdr:rowOff>133350</xdr:rowOff>
        </xdr:from>
        <xdr:to>
          <xdr:col>5</xdr:col>
          <xdr:colOff>990600</xdr:colOff>
          <xdr:row>3</xdr:row>
          <xdr:rowOff>66675</xdr:rowOff>
        </xdr:to>
        <xdr:sp macro="" textlink="">
          <xdr:nvSpPr>
            <xdr:cNvPr id="1082" name="btn_cancelar_inclusao" descr="te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xmlns="" id="{00000000-0008-0000-02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1</xdr:row>
          <xdr:rowOff>133350</xdr:rowOff>
        </xdr:from>
        <xdr:to>
          <xdr:col>4</xdr:col>
          <xdr:colOff>895350</xdr:colOff>
          <xdr:row>3</xdr:row>
          <xdr:rowOff>66675</xdr:rowOff>
        </xdr:to>
        <xdr:sp macro="" textlink="">
          <xdr:nvSpPr>
            <xdr:cNvPr id="1083" name="btn_confirmar" descr="teste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xmlns="" id="{00000000-0008-0000-02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390525</xdr:colOff>
      <xdr:row>1</xdr:row>
      <xdr:rowOff>66676</xdr:rowOff>
    </xdr:from>
    <xdr:to>
      <xdr:col>11</xdr:col>
      <xdr:colOff>28575</xdr:colOff>
      <xdr:row>4</xdr:row>
      <xdr:rowOff>107910</xdr:rowOff>
    </xdr:to>
    <xdr:sp macro="[0]!btn_acessa_painel_principal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334625" y="257176"/>
          <a:ext cx="1466850" cy="61273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RETORNAR</a:t>
          </a:r>
          <a:r>
            <a:rPr lang="pt-BR" sz="12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AO PAINEL</a:t>
          </a:r>
          <a:endParaRPr lang="pt-BR" sz="1200" b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8</xdr:col>
      <xdr:colOff>390525</xdr:colOff>
      <xdr:row>5</xdr:row>
      <xdr:rowOff>28575</xdr:rowOff>
    </xdr:from>
    <xdr:to>
      <xdr:col>11</xdr:col>
      <xdr:colOff>28575</xdr:colOff>
      <xdr:row>8</xdr:row>
      <xdr:rowOff>61852</xdr:rowOff>
    </xdr:to>
    <xdr:sp macro="[0]!btn_acessa_cadastro_estoque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334625" y="981075"/>
          <a:ext cx="1466850" cy="604777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CADASTRO DE ESTOQUE</a:t>
          </a:r>
        </a:p>
      </xdr:txBody>
    </xdr:sp>
    <xdr:clientData/>
  </xdr:twoCellAnchor>
  <xdr:twoCellAnchor>
    <xdr:from>
      <xdr:col>8</xdr:col>
      <xdr:colOff>390525</xdr:colOff>
      <xdr:row>12</xdr:row>
      <xdr:rowOff>161926</xdr:rowOff>
    </xdr:from>
    <xdr:to>
      <xdr:col>11</xdr:col>
      <xdr:colOff>28575</xdr:colOff>
      <xdr:row>16</xdr:row>
      <xdr:rowOff>12660</xdr:rowOff>
    </xdr:to>
    <xdr:sp macro="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10334625" y="2447926"/>
          <a:ext cx="1466850" cy="61273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Bahnschrift" panose="020B0502040204020203" pitchFamily="34" charset="0"/>
            </a:rPr>
            <a:t>PLANO DE VENDA &amp; ESTOQUE</a:t>
          </a:r>
        </a:p>
      </xdr:txBody>
    </xdr:sp>
    <xdr:clientData/>
  </xdr:twoCellAnchor>
  <xdr:twoCellAnchor>
    <xdr:from>
      <xdr:col>8</xdr:col>
      <xdr:colOff>390525</xdr:colOff>
      <xdr:row>16</xdr:row>
      <xdr:rowOff>142874</xdr:rowOff>
    </xdr:from>
    <xdr:to>
      <xdr:col>11</xdr:col>
      <xdr:colOff>28575</xdr:colOff>
      <xdr:row>20</xdr:row>
      <xdr:rowOff>87292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10334625" y="3190874"/>
          <a:ext cx="1466850" cy="620693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PLANO DE PAGAMENTOS</a:t>
          </a:r>
        </a:p>
      </xdr:txBody>
    </xdr:sp>
    <xdr:clientData/>
  </xdr:twoCellAnchor>
  <xdr:twoCellAnchor>
    <xdr:from>
      <xdr:col>8</xdr:col>
      <xdr:colOff>390525</xdr:colOff>
      <xdr:row>21</xdr:row>
      <xdr:rowOff>19050</xdr:rowOff>
    </xdr:from>
    <xdr:to>
      <xdr:col>11</xdr:col>
      <xdr:colOff>28575</xdr:colOff>
      <xdr:row>24</xdr:row>
      <xdr:rowOff>76200</xdr:rowOff>
    </xdr:to>
    <xdr:sp macro="" textlink="">
      <xdr:nvSpPr>
        <xdr:cNvPr id="19" name="Retângulo de cantos arredondados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10334625" y="3933825"/>
          <a:ext cx="1466850" cy="6286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DRE</a:t>
          </a:r>
        </a:p>
      </xdr:txBody>
    </xdr:sp>
    <xdr:clientData/>
  </xdr:twoCellAnchor>
  <xdr:twoCellAnchor>
    <xdr:from>
      <xdr:col>8</xdr:col>
      <xdr:colOff>390525</xdr:colOff>
      <xdr:row>9</xdr:row>
      <xdr:rowOff>0</xdr:rowOff>
    </xdr:from>
    <xdr:to>
      <xdr:col>11</xdr:col>
      <xdr:colOff>28575</xdr:colOff>
      <xdr:row>12</xdr:row>
      <xdr:rowOff>33277</xdr:rowOff>
    </xdr:to>
    <xdr:sp macro="[0]!btn_acessa_cadastro_clientes" textlink="">
      <xdr:nvSpPr>
        <xdr:cNvPr id="20" name="Retângulo de cantos arredondados 19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334625" y="1714500"/>
          <a:ext cx="1466850" cy="604777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CADASTRO DE CLIENTES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5</xdr:row>
          <xdr:rowOff>19050</xdr:rowOff>
        </xdr:from>
        <xdr:to>
          <xdr:col>5</xdr:col>
          <xdr:colOff>95250</xdr:colOff>
          <xdr:row>10</xdr:row>
          <xdr:rowOff>28575</xdr:rowOff>
        </xdr:to>
        <xdr:sp macro="" textlink="">
          <xdr:nvSpPr>
            <xdr:cNvPr id="15361" name="Group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Principais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10</xdr:row>
          <xdr:rowOff>133350</xdr:rowOff>
        </xdr:from>
        <xdr:to>
          <xdr:col>5</xdr:col>
          <xdr:colOff>95250</xdr:colOff>
          <xdr:row>43</xdr:row>
          <xdr:rowOff>76200</xdr:rowOff>
        </xdr:to>
        <xdr:sp macro="" textlink="">
          <xdr:nvSpPr>
            <xdr:cNvPr id="15362" name="Group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Materiais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0</xdr:row>
          <xdr:rowOff>123825</xdr:rowOff>
        </xdr:from>
        <xdr:to>
          <xdr:col>5</xdr:col>
          <xdr:colOff>95250</xdr:colOff>
          <xdr:row>4</xdr:row>
          <xdr:rowOff>114300</xdr:rowOff>
        </xdr:to>
        <xdr:sp macro="" textlink="">
          <xdr:nvSpPr>
            <xdr:cNvPr id="15363" name="Group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3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  Menu - Cadastro Estoque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1</xdr:row>
          <xdr:rowOff>180975</xdr:rowOff>
        </xdr:from>
        <xdr:to>
          <xdr:col>2</xdr:col>
          <xdr:colOff>495300</xdr:colOff>
          <xdr:row>3</xdr:row>
          <xdr:rowOff>114300</xdr:rowOff>
        </xdr:to>
        <xdr:sp macro="" textlink="">
          <xdr:nvSpPr>
            <xdr:cNvPr id="15370" name="btn_incluir_estoque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xmlns="" id="{00000000-0008-0000-03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1</xdr:row>
          <xdr:rowOff>180975</xdr:rowOff>
        </xdr:from>
        <xdr:to>
          <xdr:col>2</xdr:col>
          <xdr:colOff>1905000</xdr:colOff>
          <xdr:row>3</xdr:row>
          <xdr:rowOff>114300</xdr:rowOff>
        </xdr:to>
        <xdr:sp macro="" textlink="">
          <xdr:nvSpPr>
            <xdr:cNvPr id="15376" name="btn_pesquisar_estoque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xmlns="" id="{00000000-0008-0000-03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2028825</xdr:colOff>
          <xdr:row>1</xdr:row>
          <xdr:rowOff>180975</xdr:rowOff>
        </xdr:from>
        <xdr:to>
          <xdr:col>3</xdr:col>
          <xdr:colOff>809625</xdr:colOff>
          <xdr:row>3</xdr:row>
          <xdr:rowOff>114300</xdr:rowOff>
        </xdr:to>
        <xdr:sp macro="" textlink="">
          <xdr:nvSpPr>
            <xdr:cNvPr id="15377" name="btn_confirmar_estoque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xmlns="" id="{00000000-0008-0000-03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1</xdr:row>
          <xdr:rowOff>180975</xdr:rowOff>
        </xdr:from>
        <xdr:to>
          <xdr:col>4</xdr:col>
          <xdr:colOff>828675</xdr:colOff>
          <xdr:row>3</xdr:row>
          <xdr:rowOff>114300</xdr:rowOff>
        </xdr:to>
        <xdr:sp macro="" textlink="">
          <xdr:nvSpPr>
            <xdr:cNvPr id="15378" name="btn_cancelar_estoque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xmlns="" id="{00000000-0008-0000-03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514349</xdr:colOff>
      <xdr:row>5</xdr:row>
      <xdr:rowOff>161924</xdr:rowOff>
    </xdr:from>
    <xdr:to>
      <xdr:col>11</xdr:col>
      <xdr:colOff>154349</xdr:colOff>
      <xdr:row>9</xdr:row>
      <xdr:rowOff>11924</xdr:rowOff>
    </xdr:to>
    <xdr:sp macro="[0]!btn_acessa_cadastro_pedidos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9686924" y="1104899"/>
          <a:ext cx="1468800" cy="612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CADASTRO</a:t>
          </a:r>
          <a:r>
            <a:rPr lang="pt-BR" sz="1200" b="1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 DE PEDIDOS</a:t>
          </a:r>
          <a:endParaRPr lang="pt-BR" sz="1200" b="1">
            <a:solidFill>
              <a:sysClr val="windowText" lastClr="000000"/>
            </a:solidFill>
            <a:latin typeface="Bahnschrif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514350</xdr:colOff>
      <xdr:row>14</xdr:row>
      <xdr:rowOff>19050</xdr:rowOff>
    </xdr:from>
    <xdr:to>
      <xdr:col>11</xdr:col>
      <xdr:colOff>154350</xdr:colOff>
      <xdr:row>17</xdr:row>
      <xdr:rowOff>59550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9686925" y="2590800"/>
          <a:ext cx="1468800" cy="612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PLANO DE VENDAS &amp;</a:t>
          </a:r>
          <a:r>
            <a:rPr lang="pt-BR" sz="1050" b="1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 ESTOQUE</a:t>
          </a:r>
          <a:endParaRPr lang="pt-BR" sz="1050" b="1">
            <a:solidFill>
              <a:sysClr val="windowText" lastClr="000000"/>
            </a:solidFill>
            <a:latin typeface="Bahnschrift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533400</xdr:colOff>
      <xdr:row>17</xdr:row>
      <xdr:rowOff>180975</xdr:rowOff>
    </xdr:from>
    <xdr:to>
      <xdr:col>11</xdr:col>
      <xdr:colOff>173400</xdr:colOff>
      <xdr:row>21</xdr:row>
      <xdr:rowOff>30975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9705975" y="3324225"/>
          <a:ext cx="1468800" cy="612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PLANO DE PAGAMENTOS</a:t>
          </a:r>
        </a:p>
      </xdr:txBody>
    </xdr:sp>
    <xdr:clientData/>
  </xdr:twoCellAnchor>
  <xdr:twoCellAnchor>
    <xdr:from>
      <xdr:col>8</xdr:col>
      <xdr:colOff>542925</xdr:colOff>
      <xdr:row>21</xdr:row>
      <xdr:rowOff>161925</xdr:rowOff>
    </xdr:from>
    <xdr:to>
      <xdr:col>11</xdr:col>
      <xdr:colOff>182925</xdr:colOff>
      <xdr:row>25</xdr:row>
      <xdr:rowOff>30975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715500" y="4067175"/>
          <a:ext cx="1468800" cy="612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514350</xdr:colOff>
      <xdr:row>2</xdr:row>
      <xdr:rowOff>19050</xdr:rowOff>
    </xdr:from>
    <xdr:to>
      <xdr:col>11</xdr:col>
      <xdr:colOff>152400</xdr:colOff>
      <xdr:row>5</xdr:row>
      <xdr:rowOff>60284</xdr:rowOff>
    </xdr:to>
    <xdr:sp macro="[0]!btn_acessa_painel_principal" textlink="">
      <xdr:nvSpPr>
        <xdr:cNvPr id="20" name="Retângulo de cantos arredondados 14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9686925" y="390525"/>
          <a:ext cx="1466850" cy="61273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</a:rPr>
            <a:t>RETORNAR</a:t>
          </a:r>
          <a:r>
            <a:rPr lang="pt-BR" sz="1200" b="1" baseline="0">
              <a:solidFill>
                <a:sysClr val="windowText" lastClr="000000"/>
              </a:solidFill>
              <a:latin typeface="Bahnschrift" panose="020B0502040204020203" pitchFamily="34" charset="0"/>
            </a:rPr>
            <a:t> AO PAINEL</a:t>
          </a:r>
          <a:endParaRPr lang="pt-BR" sz="1200" b="1">
            <a:solidFill>
              <a:sysClr val="windowText" lastClr="000000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8</xdr:col>
      <xdr:colOff>514350</xdr:colOff>
      <xdr:row>9</xdr:row>
      <xdr:rowOff>142875</xdr:rowOff>
    </xdr:from>
    <xdr:to>
      <xdr:col>11</xdr:col>
      <xdr:colOff>154350</xdr:colOff>
      <xdr:row>13</xdr:row>
      <xdr:rowOff>78600</xdr:rowOff>
    </xdr:to>
    <xdr:sp macro="[0]!btn_acessa_cadastro_clientes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9686925" y="1847850"/>
          <a:ext cx="1468800" cy="612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CADASTRO</a:t>
          </a:r>
          <a:r>
            <a:rPr lang="pt-BR" sz="1200" b="1" baseline="0">
              <a:solidFill>
                <a:sysClr val="windowText" lastClr="000000"/>
              </a:solidFill>
              <a:latin typeface="Bahnschrift" panose="020B0502040204020203" pitchFamily="34" charset="0"/>
              <a:ea typeface="+mn-ea"/>
              <a:cs typeface="+mn-cs"/>
            </a:rPr>
            <a:t> DE CLIENTES</a:t>
          </a:r>
          <a:endParaRPr lang="pt-BR" sz="1200" b="1">
            <a:solidFill>
              <a:sysClr val="windowText" lastClr="000000"/>
            </a:solidFill>
            <a:latin typeface="Bahnschrift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152399</xdr:colOff>
      <xdr:row>0</xdr:row>
      <xdr:rowOff>152400</xdr:rowOff>
    </xdr:from>
    <xdr:ext cx="12011026" cy="1326108"/>
    <xdr:pic>
      <xdr:nvPicPr>
        <xdr:cNvPr id="2" name="Imagem 1" descr="Banner de resumo" title="Banner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399" y="152400"/>
          <a:ext cx="12011026" cy="1326108"/>
        </a:xfrm>
        <a:prstGeom prst="rect">
          <a:avLst/>
        </a:prstGeom>
      </xdr:spPr>
    </xdr:pic>
    <xdr:clientData/>
  </xdr:oneCellAnchor>
  <xdr:twoCellAnchor>
    <xdr:from>
      <xdr:col>0</xdr:col>
      <xdr:colOff>152399</xdr:colOff>
      <xdr:row>0</xdr:row>
      <xdr:rowOff>514350</xdr:rowOff>
    </xdr:from>
    <xdr:to>
      <xdr:col>3</xdr:col>
      <xdr:colOff>981074</xdr:colOff>
      <xdr:row>1</xdr:row>
      <xdr:rowOff>0</xdr:rowOff>
    </xdr:to>
    <xdr:sp macro="" textlink="">
      <xdr:nvSpPr>
        <xdr:cNvPr id="3" name="Caixa de texto 1" descr="Lista de estoque" title="Title 1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 txBox="1"/>
      </xdr:nvSpPr>
      <xdr:spPr>
        <a:xfrm>
          <a:off x="152399" y="200025"/>
          <a:ext cx="2857500" cy="0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 rtl="0"/>
          <a:r>
            <a:rPr lang="pt-BR" sz="1800">
              <a:solidFill>
                <a:schemeClr val="accent3">
                  <a:lumMod val="20000"/>
                  <a:lumOff val="80000"/>
                </a:schemeClr>
              </a:solidFill>
              <a:latin typeface="Franklin Gothic Book" panose="020B0503020102020204" pitchFamily="34" charset="0"/>
            </a:rPr>
            <a:t>Lista de estoque</a:t>
          </a:r>
        </a:p>
        <a:p>
          <a:pPr marL="0" algn="l" rtl="0"/>
          <a:r>
            <a:rPr lang="pt-BR" sz="1800">
              <a:solidFill>
                <a:schemeClr val="tx2">
                  <a:lumMod val="40000"/>
                  <a:lumOff val="60000"/>
                </a:schemeClr>
              </a:solidFill>
              <a:latin typeface="Franklin Gothic Book" panose="020B0503020102020204" pitchFamily="34" charset="0"/>
            </a:rPr>
            <a:t>Nome da empresa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ana Solange Lino" refreshedDate="44424.436818634262" createdVersion="7" refreshedVersion="7" minRefreshableVersion="3" recordCount="16">
  <cacheSource type="worksheet">
    <worksheetSource ref="A1:M1048576" sheet="base_pedidos"/>
  </cacheSource>
  <cacheFields count="13">
    <cacheField name="PEDIDO" numFmtId="0">
      <sharedItems containsString="0" containsBlank="1" containsNumber="1" containsInteger="1" minValue="101020" maxValue="101020" count="2">
        <n v="101020"/>
        <m/>
      </sharedItems>
    </cacheField>
    <cacheField name="NOTA_FISCAL" numFmtId="0">
      <sharedItems containsNonDate="0" containsString="0" containsBlank="1"/>
    </cacheField>
    <cacheField name="DATA_DA_SOLICITAÇÃO" numFmtId="0">
      <sharedItems containsNonDate="0" containsDate="1" containsString="0" containsBlank="1" minDate="2021-08-16T00:00:00" maxDate="2021-08-17T00:00:00"/>
    </cacheField>
    <cacheField name="DATA_DA_ENTREGA" numFmtId="0">
      <sharedItems containsNonDate="0" containsDate="1" containsString="0" containsBlank="1" minDate="2021-08-20T00:00:00" maxDate="2021-08-21T00:00:00"/>
    </cacheField>
    <cacheField name="CLIENTE" numFmtId="0">
      <sharedItems containsBlank="1" count="2">
        <s v="JULIANA LINO"/>
        <m/>
      </sharedItems>
    </cacheField>
    <cacheField name="FORMA_DE_PAGAMENTO" numFmtId="0">
      <sharedItems containsBlank="1" count="2">
        <s v="Débito"/>
        <m/>
      </sharedItems>
    </cacheField>
    <cacheField name="SITUACAO_PEDIDO" numFmtId="0">
      <sharedItems containsBlank="1" count="2">
        <s v="Aberto"/>
        <m/>
      </sharedItems>
    </cacheField>
    <cacheField name="MOTIVO_CANCELAMENTO" numFmtId="0">
      <sharedItems containsNonDate="0" containsString="0" containsBlank="1"/>
    </cacheField>
    <cacheField name="COD_MATERIAL" numFmtId="0">
      <sharedItems containsBlank="1"/>
    </cacheField>
    <cacheField name="DESC_MATERIAL" numFmtId="0">
      <sharedItems containsBlank="1" count="4">
        <s v="Bloco Calha-Dimensão: 14*19*39 cm"/>
        <s v="Bloco 1/2-Dimensão: 14*19*19 cm"/>
        <s v="Bloco-Dimensão: 14*19*39 cm"/>
        <m/>
      </sharedItems>
    </cacheField>
    <cacheField name="QUANTIDADE" numFmtId="0">
      <sharedItems containsString="0" containsBlank="1" containsNumber="1" containsInteger="1" minValue="10" maxValue="30"/>
    </cacheField>
    <cacheField name="VALOR_UNIT" numFmtId="0">
      <sharedItems containsString="0" containsBlank="1" containsNumber="1" containsInteger="1" minValue="4" maxValue="10"/>
    </cacheField>
    <cacheField name="VALOR_TOTAL" numFmtId="0">
      <sharedItems containsString="0" containsBlank="1" containsNumber="1" containsInteger="1" minValue="5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m/>
    <d v="2021-08-16T00:00:00"/>
    <d v="2021-08-20T00:00:00"/>
    <x v="0"/>
    <x v="0"/>
    <x v="0"/>
    <m/>
    <s v="BLCA141939"/>
    <x v="0"/>
    <n v="30"/>
    <n v="10"/>
    <n v="300"/>
  </r>
  <r>
    <x v="0"/>
    <m/>
    <d v="2021-08-16T00:00:00"/>
    <d v="2021-08-20T00:00:00"/>
    <x v="0"/>
    <x v="0"/>
    <x v="0"/>
    <m/>
    <s v="BLCO141919"/>
    <x v="1"/>
    <n v="20"/>
    <n v="4"/>
    <n v="80"/>
  </r>
  <r>
    <x v="0"/>
    <m/>
    <d v="2021-08-16T00:00:00"/>
    <d v="2021-08-20T00:00:00"/>
    <x v="0"/>
    <x v="0"/>
    <x v="0"/>
    <m/>
    <s v="BLCO141939"/>
    <x v="2"/>
    <n v="10"/>
    <n v="5"/>
    <n v="50"/>
  </r>
  <r>
    <x v="0"/>
    <m/>
    <d v="2021-08-16T00:00:00"/>
    <m/>
    <x v="0"/>
    <x v="0"/>
    <x v="0"/>
    <m/>
    <s v="BLCA141939"/>
    <x v="0"/>
    <n v="30"/>
    <n v="10"/>
    <n v="300"/>
  </r>
  <r>
    <x v="0"/>
    <m/>
    <d v="2021-08-16T00:00:00"/>
    <m/>
    <x v="0"/>
    <x v="0"/>
    <x v="0"/>
    <m/>
    <s v="BLCO141919"/>
    <x v="1"/>
    <n v="20"/>
    <n v="4"/>
    <n v="80"/>
  </r>
  <r>
    <x v="0"/>
    <m/>
    <d v="2021-08-16T00:00:00"/>
    <m/>
    <x v="0"/>
    <x v="0"/>
    <x v="0"/>
    <m/>
    <s v="BLCO141939"/>
    <x v="2"/>
    <n v="10"/>
    <n v="5"/>
    <n v="50"/>
  </r>
  <r>
    <x v="1"/>
    <m/>
    <m/>
    <m/>
    <x v="1"/>
    <x v="1"/>
    <x v="1"/>
    <m/>
    <m/>
    <x v="3"/>
    <n v="20"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  <r>
    <x v="1"/>
    <m/>
    <m/>
    <m/>
    <x v="1"/>
    <x v="1"/>
    <x v="1"/>
    <m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9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compact="0" compactData="0" multipleFieldFilters="0">
  <location ref="B4:G8" firstHeaderRow="0" firstDataRow="1" firstDataCol="4" rowPageCount="1" colPageCount="1"/>
  <pivotFields count="13">
    <pivotField axis="axisRow" compact="0" outline="0" subtotalTop="0" showAll="0" defaultSubtotal="0">
      <items count="2">
        <item x="1"/>
        <item x="0"/>
      </items>
    </pivotField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>
      <items count="3">
        <item x="0"/>
        <item h="1" x="1"/>
        <item t="default"/>
      </items>
    </pivotField>
    <pivotField axis="axisRow" compact="0" outline="0" subtotalTop="0" showAll="0" defaultSubtotal="0">
      <items count="2">
        <item x="1"/>
        <item x="0"/>
      </items>
    </pivotField>
    <pivotField axis="axisPage" compact="0" outline="0" subtotalTop="0" showAll="0">
      <items count="3">
        <item x="0"/>
        <item x="1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5">
        <item x="1"/>
        <item x="2"/>
        <item x="3"/>
        <item x="0"/>
        <item t="default"/>
      </items>
    </pivotField>
    <pivotField dataField="1" compact="0" outline="0" subtotalTop="0" showAll="0"/>
    <pivotField compact="0" outline="0" subtotalTop="0" showAll="0"/>
    <pivotField dataField="1" compact="0" outline="0" subtotalTop="0" showAll="0"/>
  </pivotFields>
  <rowFields count="4">
    <field x="4"/>
    <field x="0"/>
    <field x="5"/>
    <field x="9"/>
  </rowFields>
  <rowItems count="4">
    <i>
      <x/>
      <x v="1"/>
      <x v="1"/>
      <x/>
    </i>
    <i r="3">
      <x v="1"/>
    </i>
    <i r="3">
      <x v="3"/>
    </i>
    <i t="default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  QUANTIDADE" fld="10" baseField="9" baseItem="0" numFmtId="3"/>
    <dataField name="  VALOR_TOTAL" fld="12" baseField="9" baseItem="3" numFmtId="4"/>
  </dataFields>
  <formats count="14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4" type="button" dataOnly="0" labelOnly="1" outline="0" axis="axisRow" fieldPosition="0"/>
    </format>
    <format dxfId="42">
      <pivotArea field="0" type="button" dataOnly="0" labelOnly="1" outline="0" axis="axisRow" fieldPosition="1"/>
    </format>
    <format dxfId="41">
      <pivotArea field="5" type="button" dataOnly="0" labelOnly="1" outline="0" axis="axisRow" fieldPosition="2"/>
    </format>
    <format dxfId="40">
      <pivotArea field="9" type="button" dataOnly="0" labelOnly="1" outline="0" axis="axisRow" fieldPosition="3"/>
    </format>
    <format dxfId="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4" type="button" dataOnly="0" labelOnly="1" outline="0" axis="axisRow" fieldPosition="0"/>
    </format>
    <format dxfId="35">
      <pivotArea field="0" type="button" dataOnly="0" labelOnly="1" outline="0" axis="axisRow" fieldPosition="1"/>
    </format>
    <format dxfId="34">
      <pivotArea field="5" type="button" dataOnly="0" labelOnly="1" outline="0" axis="axisRow" fieldPosition="2"/>
    </format>
    <format dxfId="33">
      <pivotArea field="9" type="button" dataOnly="0" labelOnly="1" outline="0" axis="axisRow" fieldPosition="3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id="1" name="Inventory_List_Table" displayName="Inventory_List_Table" ref="B3:O28" headerRowDxfId="29" dataDxfId="28">
  <autoFilter ref="B3:O28"/>
  <tableColumns count="14">
    <tableColumn id="1" name="Para reordenar" totalsRowLabel="Total" dataDxfId="27" totalsRowDxfId="26">
      <calculatedColumnFormula>IFERROR((Inventory_List_Table[[#This Row],[Quantidade em estoque]]&lt;=Inventory_List_Table[[#This Row],[Nível de estoque]])*(Inventory_List_Table[[#This Row],[Descontinuado?]]="")*RealceValor,0)</calculatedColumnFormula>
    </tableColumn>
    <tableColumn id="2" name="ID de estoque" dataDxfId="25" totalsRowDxfId="24"/>
    <tableColumn id="3" name="Nome" dataDxfId="23" totalsRowDxfId="22"/>
    <tableColumn id="4" name="Descrição" dataDxfId="21" totalsRowDxfId="20"/>
    <tableColumn id="5" name="Preço unitário" dataDxfId="19" totalsRowDxfId="18"/>
    <tableColumn id="15" name="Qtd Produzida" dataDxfId="17" totalsRowDxfId="16"/>
    <tableColumn id="16" name="Qtd Em Pedido" dataDxfId="15" totalsRowDxfId="14"/>
    <tableColumn id="17" name="Qtd Em Venda" dataDxfId="13" totalsRowDxfId="12"/>
    <tableColumn id="6" name="Quantidade em estoque" dataDxfId="11" totalsRowDxfId="10"/>
    <tableColumn id="7" name="Valor de estoque" dataDxfId="9" totalsRowDxfId="8">
      <calculatedColumnFormula>Inventory_List_Table[[#This Row],[Preço unitário]]*Inventory_List_Table[[#This Row],[Quantidade em estoque]]</calculatedColumnFormula>
    </tableColumn>
    <tableColumn id="8" name="Nível de estoque" dataDxfId="7" totalsRowDxfId="6"/>
    <tableColumn id="9" name="Nova encomenda em X dias" dataDxfId="5" totalsRowDxfId="4"/>
    <tableColumn id="10" name="Quantidade a encomendar" dataDxfId="3" totalsRowDxfId="2"/>
    <tableColumn id="11" name="Descontinuado?" totalsRowFunction="count" dataDxfId="1" totalsRowDxfId="0"/>
  </tableColumns>
  <tableStyleInfo name="Tabela de empresa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3" Type="http://schemas.openxmlformats.org/officeDocument/2006/relationships/drawing" Target="../drawings/drawing3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trlProp" Target="../ctrlProps/ctrlProp6.xml"/><Relationship Id="rId2" Type="http://schemas.openxmlformats.org/officeDocument/2006/relationships/customProperty" Target="../customProperty3.bin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trlProp" Target="../ctrlProps/ctrlProp4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trlProp" Target="../ctrlProps/ctrlProp7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14.emf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11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9.xml"/><Relationship Id="rId10" Type="http://schemas.openxmlformats.org/officeDocument/2006/relationships/image" Target="../media/image13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3.xml"/><Relationship Id="rId1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D2:O25"/>
  <sheetViews>
    <sheetView workbookViewId="0">
      <selection activeCell="F19" sqref="F19"/>
    </sheetView>
  </sheetViews>
  <sheetFormatPr defaultRowHeight="15" x14ac:dyDescent="0.25"/>
  <cols>
    <col min="4" max="4" width="22.7109375" bestFit="1" customWidth="1"/>
    <col min="5" max="5" width="10.140625" bestFit="1" customWidth="1"/>
    <col min="6" max="6" width="42.5703125" customWidth="1"/>
    <col min="7" max="7" width="17.5703125" customWidth="1"/>
    <col min="8" max="8" width="8.42578125" bestFit="1" customWidth="1"/>
    <col min="9" max="9" width="8" bestFit="1" customWidth="1"/>
    <col min="10" max="10" width="6.42578125" bestFit="1" customWidth="1"/>
    <col min="11" max="11" width="8.42578125" bestFit="1" customWidth="1"/>
    <col min="14" max="14" width="15.42578125" bestFit="1" customWidth="1"/>
    <col min="15" max="15" width="10.7109375" bestFit="1" customWidth="1"/>
  </cols>
  <sheetData>
    <row r="2" spans="4:15" x14ac:dyDescent="0.25">
      <c r="E2" s="55" t="s">
        <v>74</v>
      </c>
      <c r="F2" s="55" t="s">
        <v>239</v>
      </c>
      <c r="G2" s="55" t="s">
        <v>240</v>
      </c>
      <c r="H2" s="55" t="s">
        <v>241</v>
      </c>
      <c r="I2" s="55" t="s">
        <v>242</v>
      </c>
      <c r="J2" s="55" t="s">
        <v>243</v>
      </c>
      <c r="K2" s="55" t="s">
        <v>244</v>
      </c>
      <c r="N2" s="55" t="s">
        <v>245</v>
      </c>
      <c r="O2" s="16">
        <v>44438</v>
      </c>
    </row>
    <row r="3" spans="4:15" ht="30" x14ac:dyDescent="0.25">
      <c r="D3" t="s">
        <v>62</v>
      </c>
      <c r="F3" s="56" t="e">
        <f>base_pedidos!#REF!</f>
        <v>#REF!</v>
      </c>
    </row>
    <row r="4" spans="4:15" x14ac:dyDescent="0.25">
      <c r="D4" t="s">
        <v>63</v>
      </c>
      <c r="F4" t="e" cm="1">
        <f t="array" aca="1" ref="F4" ca="1">_xlfn._xlws.FILTER(base_estoque!C:C,base_estoque!A:A)</f>
        <v>#NAME?</v>
      </c>
      <c r="N4" t="s">
        <v>237</v>
      </c>
      <c r="O4">
        <f>DAY(O2)</f>
        <v>30</v>
      </c>
    </row>
    <row r="5" spans="4:15" x14ac:dyDescent="0.25">
      <c r="D5" t="s">
        <v>66</v>
      </c>
      <c r="N5" t="s">
        <v>238</v>
      </c>
      <c r="O5">
        <f>MONTH(O2)</f>
        <v>8</v>
      </c>
    </row>
    <row r="6" spans="4:15" x14ac:dyDescent="0.25">
      <c r="D6" t="s">
        <v>67</v>
      </c>
      <c r="N6" t="s">
        <v>236</v>
      </c>
      <c r="O6">
        <f>YEAR(O2)</f>
        <v>2021</v>
      </c>
    </row>
    <row r="7" spans="4:15" x14ac:dyDescent="0.25">
      <c r="N7" t="s">
        <v>246</v>
      </c>
    </row>
    <row r="8" spans="4:15" x14ac:dyDescent="0.25">
      <c r="N8" t="s">
        <v>247</v>
      </c>
    </row>
    <row r="9" spans="4:15" x14ac:dyDescent="0.25">
      <c r="N9" t="s">
        <v>248</v>
      </c>
    </row>
    <row r="12" spans="4:15" x14ac:dyDescent="0.25">
      <c r="D12" t="s">
        <v>250</v>
      </c>
    </row>
    <row r="25" spans="4:6" x14ac:dyDescent="0.25">
      <c r="D25" t="s">
        <v>249</v>
      </c>
      <c r="F25" t="e" cm="1">
        <f t="array" aca="1" ref="F25" ca="1">_xlfn._xlws.FILTER(base_estoque!C:C,base_estoque!A:A=DATE(Planilha2!O6,Planilha2!O5,Planilha2!O4))</f>
        <v>#NAME?</v>
      </c>
    </row>
  </sheetData>
  <pageMargins left="0.511811024" right="0.511811024" top="0.78740157499999996" bottom="0.78740157499999996" header="0.31496062000000002" footer="0.31496062000000002"/>
  <customProperties>
    <customPr name="Ibp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rgb="FF0070C0"/>
  </sheetPr>
  <dimension ref="A1"/>
  <sheetViews>
    <sheetView showGridLines="0" workbookViewId="0">
      <selection activeCell="F4" sqref="F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Group Box 1">
              <controlPr defaultSize="0" autoFill="0" autoPict="0">
                <anchor moveWithCells="1">
                  <from>
                    <xdr:col>0</xdr:col>
                    <xdr:colOff>228600</xdr:colOff>
                    <xdr:row>1</xdr:row>
                    <xdr:rowOff>0</xdr:rowOff>
                  </from>
                  <to>
                    <xdr:col>18</xdr:col>
                    <xdr:colOff>257175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>
    <tabColor rgb="FF0070C0"/>
  </sheetPr>
  <dimension ref="B1:K26"/>
  <sheetViews>
    <sheetView showGridLines="0" workbookViewId="0">
      <selection activeCell="C7" sqref="C7"/>
    </sheetView>
  </sheetViews>
  <sheetFormatPr defaultColWidth="9.140625" defaultRowHeight="15" x14ac:dyDescent="0.25"/>
  <cols>
    <col min="2" max="2" width="22.140625" customWidth="1"/>
    <col min="3" max="3" width="37.42578125" customWidth="1"/>
    <col min="4" max="4" width="20.28515625" customWidth="1"/>
    <col min="5" max="5" width="30.5703125" customWidth="1"/>
    <col min="6" max="9" width="9.140625" customWidth="1"/>
    <col min="11" max="11" width="6.140625" customWidth="1"/>
  </cols>
  <sheetData>
    <row r="1" spans="2:11" x14ac:dyDescent="0.25">
      <c r="H1" s="133" t="s">
        <v>231</v>
      </c>
      <c r="I1" s="133"/>
      <c r="J1" s="133"/>
      <c r="K1" s="133"/>
    </row>
    <row r="2" spans="2:11" x14ac:dyDescent="0.25">
      <c r="H2" s="53"/>
      <c r="I2" s="53"/>
      <c r="J2" s="53"/>
      <c r="K2" s="53"/>
    </row>
    <row r="3" spans="2:11" x14ac:dyDescent="0.25">
      <c r="H3" s="53"/>
      <c r="I3" s="53"/>
      <c r="J3" s="53"/>
      <c r="K3" s="53"/>
    </row>
    <row r="4" spans="2:11" x14ac:dyDescent="0.25">
      <c r="H4" s="53"/>
      <c r="I4" s="53"/>
      <c r="J4" s="53"/>
      <c r="K4" s="53"/>
    </row>
    <row r="5" spans="2:11" x14ac:dyDescent="0.25">
      <c r="H5" s="53"/>
      <c r="I5" s="53"/>
      <c r="J5" s="53"/>
      <c r="K5" s="53"/>
    </row>
    <row r="6" spans="2:11" x14ac:dyDescent="0.25">
      <c r="H6" s="53"/>
      <c r="I6" s="53"/>
      <c r="J6" s="53"/>
      <c r="K6" s="53"/>
    </row>
    <row r="7" spans="2:11" x14ac:dyDescent="0.25">
      <c r="B7" s="93" t="s">
        <v>213</v>
      </c>
      <c r="C7" s="122"/>
      <c r="D7" s="96" t="s">
        <v>260</v>
      </c>
      <c r="E7" s="27"/>
      <c r="H7" s="53"/>
      <c r="I7" s="53"/>
      <c r="J7" s="53"/>
      <c r="K7" s="53"/>
    </row>
    <row r="8" spans="2:11" x14ac:dyDescent="0.25">
      <c r="B8" s="94"/>
      <c r="D8" s="94"/>
      <c r="H8" s="53"/>
      <c r="I8" s="53"/>
      <c r="J8" s="53"/>
      <c r="K8" s="53"/>
    </row>
    <row r="9" spans="2:11" x14ac:dyDescent="0.25">
      <c r="B9" s="98" t="s">
        <v>256</v>
      </c>
      <c r="C9" s="26"/>
      <c r="D9" s="93" t="s">
        <v>257</v>
      </c>
      <c r="E9" s="126"/>
      <c r="H9" s="53"/>
      <c r="I9" s="53"/>
      <c r="J9" s="53"/>
      <c r="K9" s="53"/>
    </row>
    <row r="10" spans="2:11" x14ac:dyDescent="0.25">
      <c r="B10" s="94"/>
      <c r="H10" s="53"/>
      <c r="I10" s="54"/>
      <c r="J10" s="53"/>
      <c r="K10" s="53"/>
    </row>
    <row r="11" spans="2:11" x14ac:dyDescent="0.25">
      <c r="B11" s="95" t="s">
        <v>261</v>
      </c>
      <c r="C11" s="26"/>
      <c r="D11" s="96" t="s">
        <v>262</v>
      </c>
      <c r="E11" s="127"/>
      <c r="H11" s="53"/>
      <c r="I11" s="54"/>
      <c r="J11" s="53"/>
      <c r="K11" s="53"/>
    </row>
    <row r="12" spans="2:11" x14ac:dyDescent="0.25">
      <c r="B12" s="94"/>
      <c r="H12" s="53"/>
      <c r="I12" s="53"/>
      <c r="J12" s="53"/>
      <c r="K12" s="53"/>
    </row>
    <row r="13" spans="2:11" x14ac:dyDescent="0.25">
      <c r="B13" s="95" t="s">
        <v>258</v>
      </c>
      <c r="C13" s="21"/>
      <c r="D13" s="96" t="s">
        <v>263</v>
      </c>
      <c r="E13" s="128"/>
      <c r="F13" s="58"/>
      <c r="H13" s="53"/>
      <c r="I13" s="53"/>
      <c r="J13" s="53"/>
      <c r="K13" s="53"/>
    </row>
    <row r="14" spans="2:11" x14ac:dyDescent="0.25">
      <c r="D14" s="93"/>
      <c r="H14" s="53"/>
      <c r="I14" s="53"/>
      <c r="J14" s="53"/>
      <c r="K14" s="53"/>
    </row>
    <row r="15" spans="2:11" x14ac:dyDescent="0.25">
      <c r="H15" s="53"/>
      <c r="I15" s="53"/>
      <c r="J15" s="53"/>
      <c r="K15" s="53"/>
    </row>
    <row r="16" spans="2:11" ht="7.5" customHeight="1" x14ac:dyDescent="0.25">
      <c r="H16" s="53"/>
      <c r="I16" s="53"/>
      <c r="J16" s="53"/>
      <c r="K16" s="53"/>
    </row>
    <row r="18" spans="2:5" x14ac:dyDescent="0.25">
      <c r="B18" s="96"/>
      <c r="C18" s="119"/>
      <c r="E18" s="119"/>
    </row>
    <row r="20" spans="2:5" x14ac:dyDescent="0.25">
      <c r="B20" s="98"/>
      <c r="C20" s="119"/>
    </row>
    <row r="22" spans="2:5" x14ac:dyDescent="0.25">
      <c r="B22" s="93"/>
    </row>
    <row r="24" spans="2:5" x14ac:dyDescent="0.25">
      <c r="B24" s="93"/>
    </row>
    <row r="26" spans="2:5" x14ac:dyDescent="0.25">
      <c r="B26" s="96"/>
    </row>
  </sheetData>
  <mergeCells count="1">
    <mergeCell ref="H1:K1"/>
  </mergeCells>
  <dataValidations count="1">
    <dataValidation type="list" allowBlank="1" showInputMessage="1" sqref="C7">
      <formula1>Nome_Cliente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715" r:id="rId4" name="btn_confirma_cliente">
          <controlPr autoLine="0" r:id="rId5">
            <anchor moveWithCells="1">
              <from>
                <xdr:col>3</xdr:col>
                <xdr:colOff>866775</xdr:colOff>
                <xdr:row>1</xdr:row>
                <xdr:rowOff>142875</xdr:rowOff>
              </from>
              <to>
                <xdr:col>4</xdr:col>
                <xdr:colOff>895350</xdr:colOff>
                <xdr:row>3</xdr:row>
                <xdr:rowOff>76200</xdr:rowOff>
              </to>
            </anchor>
          </controlPr>
        </control>
      </mc:Choice>
      <mc:Fallback>
        <control shapeId="29715" r:id="rId4" name="btn_confirma_cliente"/>
      </mc:Fallback>
    </mc:AlternateContent>
    <mc:AlternateContent xmlns:mc="http://schemas.openxmlformats.org/markup-compatibility/2006">
      <mc:Choice Requires="x14">
        <control shapeId="29714" r:id="rId6" name="btn_cancelar_cliente">
          <controlPr autoLine="0" r:id="rId7">
            <anchor moveWithCells="1">
              <from>
                <xdr:col>4</xdr:col>
                <xdr:colOff>981075</xdr:colOff>
                <xdr:row>1</xdr:row>
                <xdr:rowOff>142875</xdr:rowOff>
              </from>
              <to>
                <xdr:col>5</xdr:col>
                <xdr:colOff>323850</xdr:colOff>
                <xdr:row>3</xdr:row>
                <xdr:rowOff>76200</xdr:rowOff>
              </to>
            </anchor>
          </controlPr>
        </control>
      </mc:Choice>
      <mc:Fallback>
        <control shapeId="29714" r:id="rId6" name="btn_cancelar_cliente"/>
      </mc:Fallback>
    </mc:AlternateContent>
    <mc:AlternateContent xmlns:mc="http://schemas.openxmlformats.org/markup-compatibility/2006">
      <mc:Choice Requires="x14">
        <control shapeId="29713" r:id="rId8" name="btn_pesquisa_cliente">
          <controlPr autoLine="0" r:id="rId9">
            <anchor moveWithCells="1">
              <from>
                <xdr:col>2</xdr:col>
                <xdr:colOff>1895475</xdr:colOff>
                <xdr:row>1</xdr:row>
                <xdr:rowOff>142875</xdr:rowOff>
              </from>
              <to>
                <xdr:col>3</xdr:col>
                <xdr:colOff>781050</xdr:colOff>
                <xdr:row>3</xdr:row>
                <xdr:rowOff>76200</xdr:rowOff>
              </to>
            </anchor>
          </controlPr>
        </control>
      </mc:Choice>
      <mc:Fallback>
        <control shapeId="29713" r:id="rId8" name="btn_pesquisa_cliente"/>
      </mc:Fallback>
    </mc:AlternateContent>
    <mc:AlternateContent xmlns:mc="http://schemas.openxmlformats.org/markup-compatibility/2006">
      <mc:Choice Requires="x14">
        <control shapeId="29712" r:id="rId10" name="btn_modifica_cliente">
          <controlPr autoLine="0" r:id="rId11">
            <anchor moveWithCells="1">
              <from>
                <xdr:col>2</xdr:col>
                <xdr:colOff>438150</xdr:colOff>
                <xdr:row>1</xdr:row>
                <xdr:rowOff>142875</xdr:rowOff>
              </from>
              <to>
                <xdr:col>2</xdr:col>
                <xdr:colOff>1819275</xdr:colOff>
                <xdr:row>3</xdr:row>
                <xdr:rowOff>76200</xdr:rowOff>
              </to>
            </anchor>
          </controlPr>
        </control>
      </mc:Choice>
      <mc:Fallback>
        <control shapeId="29712" r:id="rId10" name="btn_modifica_cliente"/>
      </mc:Fallback>
    </mc:AlternateContent>
    <mc:AlternateContent xmlns:mc="http://schemas.openxmlformats.org/markup-compatibility/2006">
      <mc:Choice Requires="x14">
        <control shapeId="29710" r:id="rId12" name="btn_incluir_cliente">
          <controlPr autoLine="0" r:id="rId13">
            <anchor moveWithCells="1">
              <from>
                <xdr:col>1</xdr:col>
                <xdr:colOff>466725</xdr:colOff>
                <xdr:row>1</xdr:row>
                <xdr:rowOff>142875</xdr:rowOff>
              </from>
              <to>
                <xdr:col>2</xdr:col>
                <xdr:colOff>371475</xdr:colOff>
                <xdr:row>3</xdr:row>
                <xdr:rowOff>76200</xdr:rowOff>
              </to>
            </anchor>
          </controlPr>
        </control>
      </mc:Choice>
      <mc:Fallback>
        <control shapeId="29710" r:id="rId12" name="btn_incluir_cliente"/>
      </mc:Fallback>
    </mc:AlternateContent>
    <mc:AlternateContent xmlns:mc="http://schemas.openxmlformats.org/markup-compatibility/2006">
      <mc:Choice Requires="x14">
        <control shapeId="29697" r:id="rId14" name="Group Box 1">
          <controlPr defaultSize="0" autoFill="0" autoPict="0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6</xdr:col>
                <xdr:colOff>200025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9" r:id="rId15" name="Group Box 3">
          <controlPr defaultSize="0" autoFill="0" autoPict="0">
            <anchor moveWithCells="1">
              <from>
                <xdr:col>1</xdr:col>
                <xdr:colOff>28575</xdr:colOff>
                <xdr:row>0</xdr:row>
                <xdr:rowOff>123825</xdr:rowOff>
              </from>
              <to>
                <xdr:col>6</xdr:col>
                <xdr:colOff>190500</xdr:colOff>
                <xdr:row>4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0070C0"/>
  </sheetPr>
  <dimension ref="B1:L48"/>
  <sheetViews>
    <sheetView showGridLines="0" workbookViewId="0">
      <selection activeCell="C7" sqref="C7"/>
    </sheetView>
  </sheetViews>
  <sheetFormatPr defaultColWidth="9.140625" defaultRowHeight="15" x14ac:dyDescent="0.25"/>
  <cols>
    <col min="2" max="2" width="22.140625" customWidth="1"/>
    <col min="3" max="3" width="37.42578125" customWidth="1"/>
    <col min="4" max="6" width="20.7109375" customWidth="1"/>
    <col min="7" max="10" width="9.140625" customWidth="1"/>
    <col min="12" max="12" width="6.140625" customWidth="1"/>
  </cols>
  <sheetData>
    <row r="1" spans="2:12" x14ac:dyDescent="0.25">
      <c r="I1" s="133" t="s">
        <v>231</v>
      </c>
      <c r="J1" s="133"/>
      <c r="K1" s="133"/>
      <c r="L1" s="133"/>
    </row>
    <row r="2" spans="2:12" x14ac:dyDescent="0.25">
      <c r="I2" s="53"/>
      <c r="J2" s="53"/>
      <c r="K2" s="53"/>
      <c r="L2" s="53"/>
    </row>
    <row r="3" spans="2:12" x14ac:dyDescent="0.25">
      <c r="I3" s="53"/>
      <c r="J3" s="53"/>
      <c r="K3" s="53"/>
      <c r="L3" s="53"/>
    </row>
    <row r="4" spans="2:12" x14ac:dyDescent="0.25">
      <c r="I4" s="53"/>
      <c r="J4" s="53"/>
      <c r="K4" s="53"/>
      <c r="L4" s="53"/>
    </row>
    <row r="5" spans="2:12" x14ac:dyDescent="0.25">
      <c r="I5" s="53"/>
      <c r="J5" s="53"/>
      <c r="K5" s="53"/>
      <c r="L5" s="53"/>
    </row>
    <row r="6" spans="2:12" x14ac:dyDescent="0.25">
      <c r="I6" s="53"/>
      <c r="J6" s="53"/>
      <c r="K6" s="53"/>
      <c r="L6" s="53"/>
    </row>
    <row r="7" spans="2:12" x14ac:dyDescent="0.25">
      <c r="B7" s="97" t="s">
        <v>172</v>
      </c>
      <c r="C7" s="27"/>
      <c r="E7" s="93" t="s">
        <v>168</v>
      </c>
      <c r="F7" s="29"/>
      <c r="I7" s="53"/>
      <c r="J7" s="53"/>
      <c r="K7" s="53"/>
      <c r="L7" s="53"/>
    </row>
    <row r="8" spans="2:12" x14ac:dyDescent="0.25">
      <c r="B8" s="94"/>
      <c r="D8" s="19"/>
      <c r="E8" s="94"/>
      <c r="I8" s="53"/>
      <c r="J8" s="53"/>
      <c r="K8" s="53"/>
      <c r="L8" s="53"/>
    </row>
    <row r="9" spans="2:12" x14ac:dyDescent="0.25">
      <c r="B9" s="93" t="s">
        <v>213</v>
      </c>
      <c r="C9" s="30"/>
      <c r="E9" s="95" t="s">
        <v>212</v>
      </c>
      <c r="F9" s="57"/>
      <c r="I9" s="53"/>
      <c r="J9" s="53"/>
      <c r="K9" s="53"/>
      <c r="L9" s="53"/>
    </row>
    <row r="10" spans="2:12" x14ac:dyDescent="0.25">
      <c r="B10" s="94"/>
      <c r="D10" s="16"/>
      <c r="I10" s="53"/>
      <c r="J10" s="53"/>
      <c r="K10" s="53"/>
      <c r="L10" s="53"/>
    </row>
    <row r="11" spans="2:12" x14ac:dyDescent="0.25">
      <c r="B11" s="98" t="s">
        <v>169</v>
      </c>
      <c r="C11" s="26"/>
      <c r="E11" s="96" t="s">
        <v>211</v>
      </c>
      <c r="F11" s="57"/>
      <c r="I11" s="53"/>
      <c r="J11" s="53"/>
      <c r="K11" s="53"/>
      <c r="L11" s="53"/>
    </row>
    <row r="12" spans="2:12" x14ac:dyDescent="0.25">
      <c r="B12" s="94"/>
      <c r="D12" s="1"/>
      <c r="I12" s="53"/>
      <c r="J12" s="54"/>
      <c r="K12" s="53"/>
      <c r="L12" s="53"/>
    </row>
    <row r="13" spans="2:12" x14ac:dyDescent="0.25">
      <c r="B13" s="96" t="s">
        <v>170</v>
      </c>
      <c r="C13" s="26"/>
      <c r="D13" s="28"/>
      <c r="E13" s="99" t="s">
        <v>171</v>
      </c>
      <c r="F13" s="57"/>
      <c r="I13" s="53"/>
      <c r="J13" s="54"/>
      <c r="K13" s="53"/>
      <c r="L13" s="53"/>
    </row>
    <row r="14" spans="2:12" x14ac:dyDescent="0.25">
      <c r="B14" s="94"/>
      <c r="D14" s="17"/>
      <c r="I14" s="53"/>
      <c r="J14" s="53"/>
      <c r="K14" s="53"/>
      <c r="L14" s="53"/>
    </row>
    <row r="15" spans="2:12" x14ac:dyDescent="0.25">
      <c r="B15" s="93" t="s">
        <v>251</v>
      </c>
      <c r="C15" s="21"/>
      <c r="G15" s="58"/>
      <c r="I15" s="53"/>
      <c r="J15" s="53"/>
      <c r="K15" s="53"/>
      <c r="L15" s="53"/>
    </row>
    <row r="16" spans="2:12" x14ac:dyDescent="0.25">
      <c r="D16" s="20"/>
      <c r="I16" s="53"/>
      <c r="J16" s="53"/>
      <c r="K16" s="53"/>
      <c r="L16" s="53"/>
    </row>
    <row r="17" spans="2:12" x14ac:dyDescent="0.25">
      <c r="I17" s="53"/>
      <c r="J17" s="53"/>
      <c r="K17" s="53"/>
      <c r="L17" s="53"/>
    </row>
    <row r="18" spans="2:12" ht="7.5" customHeight="1" thickBot="1" x14ac:dyDescent="0.3">
      <c r="I18" s="53"/>
      <c r="J18" s="53"/>
      <c r="K18" s="53"/>
      <c r="L18" s="53"/>
    </row>
    <row r="19" spans="2:12" ht="15.75" thickBot="1" x14ac:dyDescent="0.3">
      <c r="B19" s="72" t="s">
        <v>21</v>
      </c>
      <c r="C19" s="73" t="s">
        <v>22</v>
      </c>
      <c r="D19" s="73" t="s">
        <v>165</v>
      </c>
      <c r="E19" s="73" t="s">
        <v>192</v>
      </c>
      <c r="F19" s="74" t="s">
        <v>193</v>
      </c>
      <c r="I19" s="53"/>
      <c r="J19" s="53"/>
      <c r="K19" s="53"/>
      <c r="L19" s="53"/>
    </row>
    <row r="20" spans="2:12" x14ac:dyDescent="0.25">
      <c r="B20" s="66" t="s">
        <v>194</v>
      </c>
      <c r="C20" s="67" t="s">
        <v>214</v>
      </c>
      <c r="D20" s="75"/>
      <c r="E20" s="76"/>
      <c r="F20" s="77">
        <f>D20*E20</f>
        <v>0</v>
      </c>
      <c r="I20" s="53"/>
      <c r="J20" s="53"/>
      <c r="K20" s="53"/>
      <c r="L20" s="53"/>
    </row>
    <row r="21" spans="2:12" x14ac:dyDescent="0.25">
      <c r="B21" s="68" t="s">
        <v>197</v>
      </c>
      <c r="C21" s="69" t="s">
        <v>215</v>
      </c>
      <c r="D21" s="78"/>
      <c r="E21" s="79"/>
      <c r="F21" s="80">
        <f>D21*E21</f>
        <v>0</v>
      </c>
      <c r="I21" s="53"/>
      <c r="J21" s="53"/>
      <c r="K21" s="53"/>
      <c r="L21" s="53"/>
    </row>
    <row r="22" spans="2:12" x14ac:dyDescent="0.25">
      <c r="B22" s="70" t="s">
        <v>199</v>
      </c>
      <c r="C22" s="71" t="s">
        <v>216</v>
      </c>
      <c r="D22" s="81"/>
      <c r="E22" s="82"/>
      <c r="F22" s="83">
        <f t="shared" ref="F22:F45" si="0">D22*E22</f>
        <v>0</v>
      </c>
      <c r="I22" s="53"/>
      <c r="J22" s="53"/>
      <c r="K22" s="53"/>
      <c r="L22" s="53"/>
    </row>
    <row r="23" spans="2:12" x14ac:dyDescent="0.25">
      <c r="B23" s="68" t="s">
        <v>195</v>
      </c>
      <c r="C23" s="69" t="s">
        <v>217</v>
      </c>
      <c r="D23" s="78"/>
      <c r="E23" s="79"/>
      <c r="F23" s="80">
        <f t="shared" si="0"/>
        <v>0</v>
      </c>
      <c r="I23" s="53"/>
      <c r="J23" s="53"/>
      <c r="K23" s="53"/>
      <c r="L23" s="53"/>
    </row>
    <row r="24" spans="2:12" x14ac:dyDescent="0.25">
      <c r="B24" s="70" t="s">
        <v>196</v>
      </c>
      <c r="C24" s="71" t="s">
        <v>218</v>
      </c>
      <c r="D24" s="81"/>
      <c r="E24" s="82"/>
      <c r="F24" s="83">
        <f t="shared" si="0"/>
        <v>0</v>
      </c>
    </row>
    <row r="25" spans="2:12" x14ac:dyDescent="0.25">
      <c r="B25" s="68" t="s">
        <v>200</v>
      </c>
      <c r="C25" s="69" t="s">
        <v>219</v>
      </c>
      <c r="D25" s="78"/>
      <c r="E25" s="79"/>
      <c r="F25" s="80">
        <f t="shared" si="0"/>
        <v>0</v>
      </c>
    </row>
    <row r="26" spans="2:12" x14ac:dyDescent="0.25">
      <c r="B26" s="70" t="s">
        <v>198</v>
      </c>
      <c r="C26" s="71" t="s">
        <v>220</v>
      </c>
      <c r="D26" s="81"/>
      <c r="E26" s="82"/>
      <c r="F26" s="83">
        <f t="shared" si="0"/>
        <v>0</v>
      </c>
    </row>
    <row r="27" spans="2:12" x14ac:dyDescent="0.25">
      <c r="B27" s="68" t="s">
        <v>201</v>
      </c>
      <c r="C27" s="69" t="s">
        <v>221</v>
      </c>
      <c r="D27" s="78"/>
      <c r="E27" s="79"/>
      <c r="F27" s="80">
        <f t="shared" si="0"/>
        <v>0</v>
      </c>
    </row>
    <row r="28" spans="2:12" x14ac:dyDescent="0.25">
      <c r="B28" s="70" t="s">
        <v>202</v>
      </c>
      <c r="C28" s="71" t="s">
        <v>222</v>
      </c>
      <c r="D28" s="81"/>
      <c r="E28" s="82"/>
      <c r="F28" s="83">
        <f t="shared" si="0"/>
        <v>0</v>
      </c>
    </row>
    <row r="29" spans="2:12" x14ac:dyDescent="0.25">
      <c r="B29" s="68" t="s">
        <v>203</v>
      </c>
      <c r="C29" s="69" t="s">
        <v>223</v>
      </c>
      <c r="D29" s="78"/>
      <c r="E29" s="79"/>
      <c r="F29" s="80">
        <f t="shared" si="0"/>
        <v>0</v>
      </c>
    </row>
    <row r="30" spans="2:12" x14ac:dyDescent="0.25">
      <c r="B30" s="70" t="s">
        <v>204</v>
      </c>
      <c r="C30" s="71" t="s">
        <v>224</v>
      </c>
      <c r="D30" s="81"/>
      <c r="E30" s="82"/>
      <c r="F30" s="83">
        <f t="shared" si="0"/>
        <v>0</v>
      </c>
    </row>
    <row r="31" spans="2:12" x14ac:dyDescent="0.25">
      <c r="B31" s="68" t="s">
        <v>205</v>
      </c>
      <c r="C31" s="69" t="s">
        <v>225</v>
      </c>
      <c r="D31" s="78"/>
      <c r="E31" s="79"/>
      <c r="F31" s="80">
        <f t="shared" si="0"/>
        <v>0</v>
      </c>
    </row>
    <row r="32" spans="2:12" x14ac:dyDescent="0.25">
      <c r="B32" s="70" t="s">
        <v>206</v>
      </c>
      <c r="C32" s="71" t="s">
        <v>55</v>
      </c>
      <c r="D32" s="81"/>
      <c r="E32" s="82"/>
      <c r="F32" s="83">
        <f t="shared" si="0"/>
        <v>0</v>
      </c>
    </row>
    <row r="33" spans="2:6" x14ac:dyDescent="0.25">
      <c r="B33" s="68" t="s">
        <v>207</v>
      </c>
      <c r="C33" s="69" t="s">
        <v>56</v>
      </c>
      <c r="D33" s="78"/>
      <c r="E33" s="79"/>
      <c r="F33" s="80">
        <f t="shared" si="0"/>
        <v>0</v>
      </c>
    </row>
    <row r="34" spans="2:6" x14ac:dyDescent="0.25">
      <c r="B34" s="70" t="s">
        <v>208</v>
      </c>
      <c r="C34" s="71" t="s">
        <v>57</v>
      </c>
      <c r="D34" s="81"/>
      <c r="E34" s="82"/>
      <c r="F34" s="83">
        <f t="shared" si="0"/>
        <v>0</v>
      </c>
    </row>
    <row r="35" spans="2:6" x14ac:dyDescent="0.25">
      <c r="B35" s="68" t="s">
        <v>210</v>
      </c>
      <c r="C35" s="69" t="s">
        <v>58</v>
      </c>
      <c r="D35" s="78"/>
      <c r="E35" s="79"/>
      <c r="F35" s="80">
        <f t="shared" si="0"/>
        <v>0</v>
      </c>
    </row>
    <row r="36" spans="2:6" x14ac:dyDescent="0.25">
      <c r="B36" s="70" t="s">
        <v>209</v>
      </c>
      <c r="C36" s="71" t="s">
        <v>59</v>
      </c>
      <c r="D36" s="81"/>
      <c r="E36" s="82"/>
      <c r="F36" s="83">
        <f t="shared" si="0"/>
        <v>0</v>
      </c>
    </row>
    <row r="37" spans="2:6" x14ac:dyDescent="0.25">
      <c r="B37" s="62"/>
      <c r="C37" s="63"/>
      <c r="D37" s="78"/>
      <c r="E37" s="79"/>
      <c r="F37" s="80">
        <f t="shared" si="0"/>
        <v>0</v>
      </c>
    </row>
    <row r="38" spans="2:6" x14ac:dyDescent="0.25">
      <c r="B38" s="64"/>
      <c r="C38" s="65"/>
      <c r="D38" s="81"/>
      <c r="E38" s="82"/>
      <c r="F38" s="83">
        <f t="shared" si="0"/>
        <v>0</v>
      </c>
    </row>
    <row r="39" spans="2:6" x14ac:dyDescent="0.25">
      <c r="B39" s="62"/>
      <c r="C39" s="63"/>
      <c r="D39" s="78"/>
      <c r="E39" s="79"/>
      <c r="F39" s="80">
        <f t="shared" si="0"/>
        <v>0</v>
      </c>
    </row>
    <row r="40" spans="2:6" x14ac:dyDescent="0.25">
      <c r="B40" s="64"/>
      <c r="C40" s="65"/>
      <c r="D40" s="81"/>
      <c r="E40" s="82"/>
      <c r="F40" s="83">
        <f t="shared" si="0"/>
        <v>0</v>
      </c>
    </row>
    <row r="41" spans="2:6" x14ac:dyDescent="0.25">
      <c r="B41" s="62"/>
      <c r="C41" s="63"/>
      <c r="D41" s="78"/>
      <c r="E41" s="79"/>
      <c r="F41" s="80">
        <f t="shared" si="0"/>
        <v>0</v>
      </c>
    </row>
    <row r="42" spans="2:6" x14ac:dyDescent="0.25">
      <c r="B42" s="64"/>
      <c r="C42" s="65"/>
      <c r="D42" s="81"/>
      <c r="E42" s="82"/>
      <c r="F42" s="83">
        <f t="shared" si="0"/>
        <v>0</v>
      </c>
    </row>
    <row r="43" spans="2:6" x14ac:dyDescent="0.25">
      <c r="B43" s="62"/>
      <c r="C43" s="63"/>
      <c r="D43" s="78"/>
      <c r="E43" s="79"/>
      <c r="F43" s="80">
        <f t="shared" si="0"/>
        <v>0</v>
      </c>
    </row>
    <row r="44" spans="2:6" x14ac:dyDescent="0.25">
      <c r="B44" s="64"/>
      <c r="C44" s="65"/>
      <c r="D44" s="81"/>
      <c r="E44" s="82"/>
      <c r="F44" s="83">
        <f t="shared" si="0"/>
        <v>0</v>
      </c>
    </row>
    <row r="45" spans="2:6" x14ac:dyDescent="0.25">
      <c r="B45" s="62"/>
      <c r="C45" s="63"/>
      <c r="D45" s="78"/>
      <c r="E45" s="79"/>
      <c r="F45" s="80">
        <f t="shared" si="0"/>
        <v>0</v>
      </c>
    </row>
    <row r="46" spans="2:6" ht="15.75" thickBot="1" x14ac:dyDescent="0.3">
      <c r="B46" s="84"/>
      <c r="C46" s="85"/>
      <c r="D46" s="86"/>
      <c r="E46" s="87"/>
      <c r="F46" s="88">
        <f t="shared" ref="F46" si="1">D46*E46</f>
        <v>0</v>
      </c>
    </row>
    <row r="47" spans="2:6" ht="9" customHeight="1" thickBot="1" x14ac:dyDescent="0.3">
      <c r="B47" s="58"/>
      <c r="C47" s="58"/>
      <c r="D47" s="58"/>
      <c r="E47" s="58"/>
      <c r="F47" s="58"/>
    </row>
    <row r="48" spans="2:6" ht="20.25" customHeight="1" thickBot="1" x14ac:dyDescent="0.3">
      <c r="B48" s="89"/>
      <c r="C48" s="90" t="s">
        <v>173</v>
      </c>
      <c r="D48" s="91">
        <f>SUM(D20:D46)</f>
        <v>0</v>
      </c>
      <c r="E48" s="92">
        <f>SUM(E20:E46)</f>
        <v>0</v>
      </c>
      <c r="F48" s="92">
        <f>SUM(F20:F46)</f>
        <v>0</v>
      </c>
    </row>
  </sheetData>
  <mergeCells count="1">
    <mergeCell ref="I1:L1"/>
  </mergeCells>
  <dataValidations count="1">
    <dataValidation type="list" allowBlank="1" showInputMessage="1" sqref="C9">
      <formula1>nome_cliente_pedido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IbpWorksheetKeyString_GUID" r:id="rId2"/>
  </customProperties>
  <drawing r:id="rId3"/>
  <legacyDrawing r:id="rId4"/>
  <controls>
    <mc:AlternateContent xmlns:mc="http://schemas.openxmlformats.org/markup-compatibility/2006">
      <mc:Choice Requires="x14">
        <control shapeId="1078" r:id="rId5" name="btn_incluir">
          <controlPr defaultSize="0" autoLine="0" altText="teste" r:id="rId6">
            <anchor moveWithCells="1">
              <from>
                <xdr:col>1</xdr:col>
                <xdr:colOff>438150</xdr:colOff>
                <xdr:row>1</xdr:row>
                <xdr:rowOff>133350</xdr:rowOff>
              </from>
              <to>
                <xdr:col>2</xdr:col>
                <xdr:colOff>361950</xdr:colOff>
                <xdr:row>3</xdr:row>
                <xdr:rowOff>66675</xdr:rowOff>
              </to>
            </anchor>
          </controlPr>
        </control>
      </mc:Choice>
      <mc:Fallback>
        <control shapeId="1078" r:id="rId5" name="btn_incluir"/>
      </mc:Fallback>
    </mc:AlternateContent>
    <mc:AlternateContent xmlns:mc="http://schemas.openxmlformats.org/markup-compatibility/2006">
      <mc:Choice Requires="x14">
        <control shapeId="1080" r:id="rId7" name="btn_modificar">
          <controlPr defaultSize="0" autoLine="0" altText="teste" r:id="rId8">
            <anchor moveWithCells="1">
              <from>
                <xdr:col>2</xdr:col>
                <xdr:colOff>428625</xdr:colOff>
                <xdr:row>1</xdr:row>
                <xdr:rowOff>133350</xdr:rowOff>
              </from>
              <to>
                <xdr:col>2</xdr:col>
                <xdr:colOff>1828800</xdr:colOff>
                <xdr:row>3</xdr:row>
                <xdr:rowOff>66675</xdr:rowOff>
              </to>
            </anchor>
          </controlPr>
        </control>
      </mc:Choice>
      <mc:Fallback>
        <control shapeId="1080" r:id="rId7" name="btn_modificar"/>
      </mc:Fallback>
    </mc:AlternateContent>
    <mc:AlternateContent xmlns:mc="http://schemas.openxmlformats.org/markup-compatibility/2006">
      <mc:Choice Requires="x14">
        <control shapeId="1081" r:id="rId9" name="btn_pesquisar">
          <controlPr defaultSize="0" autoLine="0" altText="teste" r:id="rId10">
            <anchor moveWithCells="1">
              <from>
                <xdr:col>2</xdr:col>
                <xdr:colOff>1895475</xdr:colOff>
                <xdr:row>1</xdr:row>
                <xdr:rowOff>133350</xdr:rowOff>
              </from>
              <to>
                <xdr:col>3</xdr:col>
                <xdr:colOff>800100</xdr:colOff>
                <xdr:row>3</xdr:row>
                <xdr:rowOff>66675</xdr:rowOff>
              </to>
            </anchor>
          </controlPr>
        </control>
      </mc:Choice>
      <mc:Fallback>
        <control shapeId="1081" r:id="rId9" name="btn_pesquisar"/>
      </mc:Fallback>
    </mc:AlternateContent>
    <mc:AlternateContent xmlns:mc="http://schemas.openxmlformats.org/markup-compatibility/2006">
      <mc:Choice Requires="x14">
        <control shapeId="1082" r:id="rId11" name="btn_cancelar_inclusao">
          <controlPr defaultSize="0" autoLine="0" altText="teste" r:id="rId12">
            <anchor moveWithCells="1">
              <from>
                <xdr:col>4</xdr:col>
                <xdr:colOff>971550</xdr:colOff>
                <xdr:row>1</xdr:row>
                <xdr:rowOff>133350</xdr:rowOff>
              </from>
              <to>
                <xdr:col>5</xdr:col>
                <xdr:colOff>990600</xdr:colOff>
                <xdr:row>3</xdr:row>
                <xdr:rowOff>66675</xdr:rowOff>
              </to>
            </anchor>
          </controlPr>
        </control>
      </mc:Choice>
      <mc:Fallback>
        <control shapeId="1082" r:id="rId11" name="btn_cancelar_inclusao"/>
      </mc:Fallback>
    </mc:AlternateContent>
    <mc:AlternateContent xmlns:mc="http://schemas.openxmlformats.org/markup-compatibility/2006">
      <mc:Choice Requires="x14">
        <control shapeId="1083" r:id="rId13" name="btn_confirmar">
          <controlPr defaultSize="0" autoLine="0" altText="teste" r:id="rId14">
            <anchor moveWithCells="1">
              <from>
                <xdr:col>3</xdr:col>
                <xdr:colOff>876300</xdr:colOff>
                <xdr:row>1</xdr:row>
                <xdr:rowOff>133350</xdr:rowOff>
              </from>
              <to>
                <xdr:col>4</xdr:col>
                <xdr:colOff>895350</xdr:colOff>
                <xdr:row>3</xdr:row>
                <xdr:rowOff>66675</xdr:rowOff>
              </to>
            </anchor>
          </controlPr>
        </control>
      </mc:Choice>
      <mc:Fallback>
        <control shapeId="1083" r:id="rId13" name="btn_confirmar"/>
      </mc:Fallback>
    </mc:AlternateContent>
    <mc:AlternateContent xmlns:mc="http://schemas.openxmlformats.org/markup-compatibility/2006">
      <mc:Choice Requires="x14">
        <control shapeId="1037" r:id="rId15" name="Group Box 13">
          <controlPr defaultSize="0" autoFill="0" autoPict="0">
            <anchor moveWithCells="1">
              <from>
                <xdr:col>0</xdr:col>
                <xdr:colOff>504825</xdr:colOff>
                <xdr:row>5</xdr:row>
                <xdr:rowOff>19050</xdr:rowOff>
              </from>
              <to>
                <xdr:col>6</xdr:col>
                <xdr:colOff>104775</xdr:colOff>
                <xdr:row>16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Group Box 16">
          <controlPr defaultSize="0" autoFill="0" autoPict="0">
            <anchor moveWithCells="1">
              <from>
                <xdr:col>0</xdr:col>
                <xdr:colOff>504825</xdr:colOff>
                <xdr:row>16</xdr:row>
                <xdr:rowOff>133350</xdr:rowOff>
              </from>
              <to>
                <xdr:col>6</xdr:col>
                <xdr:colOff>104775</xdr:colOff>
                <xdr:row>48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Group Box 17">
          <controlPr defaultSize="0" autoFill="0" autoPict="0">
            <anchor moveWithCells="1">
              <from>
                <xdr:col>0</xdr:col>
                <xdr:colOff>504825</xdr:colOff>
                <xdr:row>0</xdr:row>
                <xdr:rowOff>123825</xdr:rowOff>
              </from>
              <to>
                <xdr:col>6</xdr:col>
                <xdr:colOff>104775</xdr:colOff>
                <xdr:row>4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'FORMA DE PAGAMENTO'!$B$3:$B$8</xm:f>
          </x14:formula1>
          <xm:sqref>C11</xm:sqref>
        </x14:dataValidation>
        <x14:dataValidation type="list" allowBlank="1" showInputMessage="1" showErrorMessage="1">
          <x14:formula1>
            <xm:f>'FORMA DE PAGAMENTO'!$E$3:$E$6</xm:f>
          </x14:formula1>
          <xm:sqref>C13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0070C0"/>
  </sheetPr>
  <dimension ref="B1:L42"/>
  <sheetViews>
    <sheetView showGridLines="0" zoomScaleNormal="100" workbookViewId="0">
      <selection activeCell="C7" sqref="C7"/>
    </sheetView>
  </sheetViews>
  <sheetFormatPr defaultColWidth="9.140625" defaultRowHeight="14.25" x14ac:dyDescent="0.2"/>
  <cols>
    <col min="1" max="1" width="9.140625" style="58"/>
    <col min="2" max="2" width="22.140625" style="58" customWidth="1"/>
    <col min="3" max="3" width="37.42578125" style="58" customWidth="1"/>
    <col min="4" max="5" width="20.7109375" style="58" customWidth="1"/>
    <col min="6" max="10" width="9.140625" style="58" customWidth="1"/>
    <col min="11" max="16384" width="9.140625" style="58"/>
  </cols>
  <sheetData>
    <row r="1" spans="2:12" x14ac:dyDescent="0.2">
      <c r="I1" s="133" t="s">
        <v>231</v>
      </c>
      <c r="J1" s="133"/>
      <c r="K1" s="133"/>
      <c r="L1" s="133"/>
    </row>
    <row r="2" spans="2:12" ht="15" x14ac:dyDescent="0.25">
      <c r="I2" s="53"/>
      <c r="J2" s="53"/>
      <c r="K2" s="53"/>
      <c r="L2" s="53"/>
    </row>
    <row r="3" spans="2:12" ht="15" x14ac:dyDescent="0.25">
      <c r="I3" s="53"/>
      <c r="J3" s="53"/>
      <c r="K3" s="53"/>
      <c r="L3" s="53"/>
    </row>
    <row r="4" spans="2:12" ht="15" x14ac:dyDescent="0.25">
      <c r="I4" s="53"/>
      <c r="J4" s="53"/>
      <c r="K4" s="53"/>
      <c r="L4" s="53"/>
    </row>
    <row r="5" spans="2:12" ht="15" x14ac:dyDescent="0.25">
      <c r="I5" s="53"/>
      <c r="J5" s="53"/>
      <c r="K5" s="53"/>
      <c r="L5" s="53"/>
    </row>
    <row r="6" spans="2:12" ht="15" x14ac:dyDescent="0.25">
      <c r="I6" s="53"/>
      <c r="J6" s="53"/>
      <c r="K6" s="53"/>
      <c r="L6" s="53"/>
    </row>
    <row r="7" spans="2:12" ht="15" x14ac:dyDescent="0.25">
      <c r="B7" s="60" t="s">
        <v>228</v>
      </c>
      <c r="C7" s="131"/>
      <c r="E7" s="59"/>
      <c r="I7" s="53"/>
      <c r="J7" s="53"/>
      <c r="K7" s="53"/>
      <c r="L7" s="53"/>
    </row>
    <row r="8" spans="2:12" ht="15" x14ac:dyDescent="0.25">
      <c r="D8" s="100"/>
      <c r="I8" s="53"/>
      <c r="J8" s="53"/>
      <c r="K8" s="53"/>
      <c r="L8" s="53"/>
    </row>
    <row r="9" spans="2:12" ht="15" x14ac:dyDescent="0.25">
      <c r="B9" s="101"/>
      <c r="C9" s="102"/>
      <c r="I9" s="53"/>
      <c r="J9" s="53"/>
      <c r="K9" s="53"/>
      <c r="L9" s="53"/>
    </row>
    <row r="10" spans="2:12" ht="15" x14ac:dyDescent="0.25">
      <c r="B10" s="103"/>
      <c r="C10" s="103"/>
      <c r="D10" s="104"/>
      <c r="I10" s="53"/>
      <c r="J10" s="53"/>
      <c r="K10" s="53"/>
      <c r="L10" s="53"/>
    </row>
    <row r="11" spans="2:12" ht="15" x14ac:dyDescent="0.25">
      <c r="I11" s="53"/>
      <c r="J11" s="53"/>
      <c r="K11" s="53"/>
      <c r="L11" s="53"/>
    </row>
    <row r="12" spans="2:12" ht="7.5" customHeight="1" thickBot="1" x14ac:dyDescent="0.3">
      <c r="I12" s="53"/>
      <c r="J12" s="54"/>
      <c r="K12" s="53"/>
      <c r="L12" s="53"/>
    </row>
    <row r="13" spans="2:12" ht="15.75" thickBot="1" x14ac:dyDescent="0.3">
      <c r="B13" s="72" t="s">
        <v>21</v>
      </c>
      <c r="C13" s="73" t="s">
        <v>22</v>
      </c>
      <c r="D13" s="73" t="s">
        <v>165</v>
      </c>
      <c r="E13" s="73" t="s">
        <v>229</v>
      </c>
      <c r="I13" s="53"/>
      <c r="J13" s="54"/>
      <c r="K13" s="53"/>
      <c r="L13" s="53"/>
    </row>
    <row r="14" spans="2:12" ht="15" x14ac:dyDescent="0.25">
      <c r="B14" s="66" t="s">
        <v>194</v>
      </c>
      <c r="C14" s="67" t="s">
        <v>214</v>
      </c>
      <c r="D14" s="75"/>
      <c r="E14" s="105"/>
      <c r="I14" s="53"/>
      <c r="J14" s="53"/>
      <c r="K14" s="53"/>
      <c r="L14" s="53"/>
    </row>
    <row r="15" spans="2:12" ht="15" x14ac:dyDescent="0.25">
      <c r="B15" s="68" t="s">
        <v>197</v>
      </c>
      <c r="C15" s="69" t="s">
        <v>215</v>
      </c>
      <c r="D15" s="78"/>
      <c r="E15" s="106"/>
      <c r="I15" s="53"/>
      <c r="J15" s="53"/>
      <c r="K15" s="53"/>
      <c r="L15" s="53"/>
    </row>
    <row r="16" spans="2:12" ht="15" x14ac:dyDescent="0.25">
      <c r="B16" s="70" t="s">
        <v>199</v>
      </c>
      <c r="C16" s="71" t="s">
        <v>216</v>
      </c>
      <c r="D16" s="81"/>
      <c r="E16" s="107"/>
      <c r="I16" s="53"/>
      <c r="J16" s="53"/>
      <c r="K16" s="53"/>
      <c r="L16" s="53"/>
    </row>
    <row r="17" spans="2:12" ht="15" x14ac:dyDescent="0.25">
      <c r="B17" s="68" t="s">
        <v>195</v>
      </c>
      <c r="C17" s="69" t="s">
        <v>217</v>
      </c>
      <c r="D17" s="78"/>
      <c r="E17" s="106"/>
      <c r="I17" s="53"/>
      <c r="J17" s="53"/>
      <c r="K17" s="53"/>
      <c r="L17" s="53"/>
    </row>
    <row r="18" spans="2:12" ht="15" x14ac:dyDescent="0.25">
      <c r="B18" s="70" t="s">
        <v>196</v>
      </c>
      <c r="C18" s="71" t="s">
        <v>218</v>
      </c>
      <c r="D18" s="81"/>
      <c r="E18" s="107"/>
      <c r="I18" s="53"/>
      <c r="J18" s="53"/>
      <c r="K18" s="53"/>
      <c r="L18" s="53"/>
    </row>
    <row r="19" spans="2:12" ht="15" x14ac:dyDescent="0.25">
      <c r="B19" s="68" t="s">
        <v>200</v>
      </c>
      <c r="C19" s="69" t="s">
        <v>219</v>
      </c>
      <c r="D19" s="78"/>
      <c r="E19" s="106"/>
      <c r="I19" s="53"/>
      <c r="J19" s="53"/>
      <c r="K19" s="53"/>
      <c r="L19" s="53"/>
    </row>
    <row r="20" spans="2:12" ht="15" x14ac:dyDescent="0.25">
      <c r="B20" s="70" t="s">
        <v>198</v>
      </c>
      <c r="C20" s="71" t="s">
        <v>220</v>
      </c>
      <c r="D20" s="81"/>
      <c r="E20" s="107"/>
      <c r="I20" s="53"/>
      <c r="J20" s="53"/>
      <c r="K20" s="53"/>
      <c r="L20" s="53"/>
    </row>
    <row r="21" spans="2:12" ht="15" x14ac:dyDescent="0.25">
      <c r="B21" s="68" t="s">
        <v>201</v>
      </c>
      <c r="C21" s="69" t="s">
        <v>221</v>
      </c>
      <c r="D21" s="78"/>
      <c r="E21" s="106"/>
      <c r="I21" s="53"/>
      <c r="J21" s="53"/>
      <c r="K21" s="53"/>
      <c r="L21" s="53"/>
    </row>
    <row r="22" spans="2:12" ht="15" x14ac:dyDescent="0.25">
      <c r="B22" s="70" t="s">
        <v>202</v>
      </c>
      <c r="C22" s="71" t="s">
        <v>222</v>
      </c>
      <c r="D22" s="81"/>
      <c r="E22" s="107"/>
      <c r="I22" s="53"/>
      <c r="J22" s="53"/>
      <c r="K22" s="53"/>
      <c r="L22" s="53"/>
    </row>
    <row r="23" spans="2:12" ht="15" x14ac:dyDescent="0.25">
      <c r="B23" s="68" t="s">
        <v>203</v>
      </c>
      <c r="C23" s="69" t="s">
        <v>223</v>
      </c>
      <c r="D23" s="78"/>
      <c r="E23" s="106"/>
      <c r="I23" s="53"/>
      <c r="J23" s="53"/>
      <c r="K23" s="53"/>
      <c r="L23" s="53"/>
    </row>
    <row r="24" spans="2:12" x14ac:dyDescent="0.2">
      <c r="B24" s="70" t="s">
        <v>204</v>
      </c>
      <c r="C24" s="71" t="s">
        <v>224</v>
      </c>
      <c r="D24" s="81"/>
      <c r="E24" s="107"/>
    </row>
    <row r="25" spans="2:12" x14ac:dyDescent="0.2">
      <c r="B25" s="68" t="s">
        <v>205</v>
      </c>
      <c r="C25" s="69" t="s">
        <v>225</v>
      </c>
      <c r="D25" s="78"/>
      <c r="E25" s="106"/>
    </row>
    <row r="26" spans="2:12" x14ac:dyDescent="0.2">
      <c r="B26" s="70" t="s">
        <v>206</v>
      </c>
      <c r="C26" s="71" t="s">
        <v>55</v>
      </c>
      <c r="D26" s="81"/>
      <c r="E26" s="107"/>
    </row>
    <row r="27" spans="2:12" x14ac:dyDescent="0.2">
      <c r="B27" s="68" t="s">
        <v>207</v>
      </c>
      <c r="C27" s="69" t="s">
        <v>56</v>
      </c>
      <c r="D27" s="78"/>
      <c r="E27" s="106"/>
    </row>
    <row r="28" spans="2:12" x14ac:dyDescent="0.2">
      <c r="B28" s="70" t="s">
        <v>208</v>
      </c>
      <c r="C28" s="71" t="s">
        <v>57</v>
      </c>
      <c r="D28" s="81"/>
      <c r="E28" s="107"/>
    </row>
    <row r="29" spans="2:12" x14ac:dyDescent="0.2">
      <c r="B29" s="68" t="s">
        <v>210</v>
      </c>
      <c r="C29" s="69" t="s">
        <v>58</v>
      </c>
      <c r="D29" s="78"/>
      <c r="E29" s="106"/>
    </row>
    <row r="30" spans="2:12" x14ac:dyDescent="0.2">
      <c r="B30" s="70" t="s">
        <v>209</v>
      </c>
      <c r="C30" s="71" t="s">
        <v>59</v>
      </c>
      <c r="D30" s="81"/>
      <c r="E30" s="107"/>
    </row>
    <row r="31" spans="2:12" x14ac:dyDescent="0.2">
      <c r="B31" s="62"/>
      <c r="C31" s="63"/>
      <c r="D31" s="78"/>
      <c r="E31" s="106"/>
    </row>
    <row r="32" spans="2:12" x14ac:dyDescent="0.2">
      <c r="B32" s="64"/>
      <c r="C32" s="65"/>
      <c r="D32" s="81"/>
      <c r="E32" s="107"/>
    </row>
    <row r="33" spans="2:5" x14ac:dyDescent="0.2">
      <c r="B33" s="62"/>
      <c r="C33" s="63"/>
      <c r="D33" s="78"/>
      <c r="E33" s="106"/>
    </row>
    <row r="34" spans="2:5" x14ac:dyDescent="0.2">
      <c r="B34" s="64"/>
      <c r="C34" s="65"/>
      <c r="D34" s="81"/>
      <c r="E34" s="107"/>
    </row>
    <row r="35" spans="2:5" x14ac:dyDescent="0.2">
      <c r="B35" s="62"/>
      <c r="C35" s="63"/>
      <c r="D35" s="78"/>
      <c r="E35" s="106"/>
    </row>
    <row r="36" spans="2:5" x14ac:dyDescent="0.2">
      <c r="B36" s="64"/>
      <c r="C36" s="65"/>
      <c r="D36" s="81"/>
      <c r="E36" s="107"/>
    </row>
    <row r="37" spans="2:5" x14ac:dyDescent="0.2">
      <c r="B37" s="62"/>
      <c r="C37" s="63"/>
      <c r="D37" s="78"/>
      <c r="E37" s="106"/>
    </row>
    <row r="38" spans="2:5" x14ac:dyDescent="0.2">
      <c r="B38" s="64"/>
      <c r="C38" s="65"/>
      <c r="D38" s="81"/>
      <c r="E38" s="107"/>
    </row>
    <row r="39" spans="2:5" x14ac:dyDescent="0.2">
      <c r="B39" s="62"/>
      <c r="C39" s="63"/>
      <c r="D39" s="78"/>
      <c r="E39" s="106"/>
    </row>
    <row r="40" spans="2:5" ht="15" thickBot="1" x14ac:dyDescent="0.25">
      <c r="B40" s="84"/>
      <c r="C40" s="85"/>
      <c r="D40" s="86"/>
      <c r="E40" s="108"/>
    </row>
    <row r="41" spans="2:5" ht="9" customHeight="1" thickBot="1" x14ac:dyDescent="0.25"/>
    <row r="42" spans="2:5" ht="20.25" customHeight="1" thickBot="1" x14ac:dyDescent="0.25">
      <c r="B42" s="89"/>
      <c r="C42" s="91" t="s">
        <v>227</v>
      </c>
      <c r="D42" s="91">
        <f>SUM(D14:D40)</f>
        <v>0</v>
      </c>
      <c r="E42" s="91">
        <f>SUM(E14:E40)</f>
        <v>0</v>
      </c>
    </row>
  </sheetData>
  <mergeCells count="1">
    <mergeCell ref="I1:L1"/>
  </mergeCells>
  <pageMargins left="0.511811024" right="0.511811024" top="0.78740157499999996" bottom="0.78740157499999996" header="0.31496062000000002" footer="0.31496062000000002"/>
  <pageSetup paperSize="9" orientation="portrait" r:id="rId1"/>
  <customProperties>
    <customPr name="IbpWorksheetKeyString_GUID" r:id="rId2"/>
  </customProperties>
  <drawing r:id="rId3"/>
  <legacyDrawing r:id="rId4"/>
  <controls>
    <mc:AlternateContent xmlns:mc="http://schemas.openxmlformats.org/markup-compatibility/2006">
      <mc:Choice Requires="x14">
        <control shapeId="15378" r:id="rId5" name="btn_cancelar_estoque">
          <controlPr defaultSize="0" autoLine="0" r:id="rId6">
            <anchor moveWithCells="1">
              <from>
                <xdr:col>3</xdr:col>
                <xdr:colOff>942975</xdr:colOff>
                <xdr:row>1</xdr:row>
                <xdr:rowOff>180975</xdr:rowOff>
              </from>
              <to>
                <xdr:col>4</xdr:col>
                <xdr:colOff>828675</xdr:colOff>
                <xdr:row>3</xdr:row>
                <xdr:rowOff>114300</xdr:rowOff>
              </to>
            </anchor>
          </controlPr>
        </control>
      </mc:Choice>
      <mc:Fallback>
        <control shapeId="15378" r:id="rId5" name="btn_cancelar_estoque"/>
      </mc:Fallback>
    </mc:AlternateContent>
    <mc:AlternateContent xmlns:mc="http://schemas.openxmlformats.org/markup-compatibility/2006">
      <mc:Choice Requires="x14">
        <control shapeId="15377" r:id="rId7" name="btn_confirmar_estoque">
          <controlPr defaultSize="0" autoLine="0" r:id="rId8">
            <anchor moveWithCells="1">
              <from>
                <xdr:col>2</xdr:col>
                <xdr:colOff>2028825</xdr:colOff>
                <xdr:row>1</xdr:row>
                <xdr:rowOff>180975</xdr:rowOff>
              </from>
              <to>
                <xdr:col>3</xdr:col>
                <xdr:colOff>809625</xdr:colOff>
                <xdr:row>3</xdr:row>
                <xdr:rowOff>114300</xdr:rowOff>
              </to>
            </anchor>
          </controlPr>
        </control>
      </mc:Choice>
      <mc:Fallback>
        <control shapeId="15377" r:id="rId7" name="btn_confirmar_estoque"/>
      </mc:Fallback>
    </mc:AlternateContent>
    <mc:AlternateContent xmlns:mc="http://schemas.openxmlformats.org/markup-compatibility/2006">
      <mc:Choice Requires="x14">
        <control shapeId="15376" r:id="rId9" name="btn_pesquisar_estoque">
          <controlPr defaultSize="0" autoLine="0" r:id="rId10">
            <anchor moveWithCells="1">
              <from>
                <xdr:col>2</xdr:col>
                <xdr:colOff>638175</xdr:colOff>
                <xdr:row>1</xdr:row>
                <xdr:rowOff>180975</xdr:rowOff>
              </from>
              <to>
                <xdr:col>2</xdr:col>
                <xdr:colOff>1905000</xdr:colOff>
                <xdr:row>3</xdr:row>
                <xdr:rowOff>114300</xdr:rowOff>
              </to>
            </anchor>
          </controlPr>
        </control>
      </mc:Choice>
      <mc:Fallback>
        <control shapeId="15376" r:id="rId9" name="btn_pesquisar_estoque"/>
      </mc:Fallback>
    </mc:AlternateContent>
    <mc:AlternateContent xmlns:mc="http://schemas.openxmlformats.org/markup-compatibility/2006">
      <mc:Choice Requires="x14">
        <control shapeId="15370" r:id="rId11" name="btn_incluir_estoque">
          <controlPr defaultSize="0" autoLine="0" r:id="rId12">
            <anchor moveWithCells="1">
              <from>
                <xdr:col>1</xdr:col>
                <xdr:colOff>695325</xdr:colOff>
                <xdr:row>1</xdr:row>
                <xdr:rowOff>180975</xdr:rowOff>
              </from>
              <to>
                <xdr:col>2</xdr:col>
                <xdr:colOff>495300</xdr:colOff>
                <xdr:row>3</xdr:row>
                <xdr:rowOff>114300</xdr:rowOff>
              </to>
            </anchor>
          </controlPr>
        </control>
      </mc:Choice>
      <mc:Fallback>
        <control shapeId="15370" r:id="rId11" name="btn_incluir_estoque"/>
      </mc:Fallback>
    </mc:AlternateContent>
    <mc:AlternateContent xmlns:mc="http://schemas.openxmlformats.org/markup-compatibility/2006">
      <mc:Choice Requires="x14">
        <control shapeId="15361" r:id="rId13" name="Group Box 1">
          <controlPr defaultSize="0" autoFill="0" autoPict="0">
            <anchor moveWithCells="1">
              <from>
                <xdr:col>0</xdr:col>
                <xdr:colOff>504825</xdr:colOff>
                <xdr:row>5</xdr:row>
                <xdr:rowOff>19050</xdr:rowOff>
              </from>
              <to>
                <xdr:col>5</xdr:col>
                <xdr:colOff>95250</xdr:colOff>
                <xdr:row>10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2" r:id="rId14" name="Group Box 2">
          <controlPr defaultSize="0" autoFill="0" autoPict="0">
            <anchor moveWithCells="1">
              <from>
                <xdr:col>0</xdr:col>
                <xdr:colOff>504825</xdr:colOff>
                <xdr:row>10</xdr:row>
                <xdr:rowOff>133350</xdr:rowOff>
              </from>
              <to>
                <xdr:col>5</xdr:col>
                <xdr:colOff>95250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3" r:id="rId15" name="Group Box 3">
          <controlPr defaultSize="0" autoFill="0" autoPict="0">
            <anchor moveWithCells="1">
              <from>
                <xdr:col>0</xdr:col>
                <xdr:colOff>504825</xdr:colOff>
                <xdr:row>0</xdr:row>
                <xdr:rowOff>123825</xdr:rowOff>
              </from>
              <to>
                <xdr:col>5</xdr:col>
                <xdr:colOff>95250</xdr:colOff>
                <xdr:row>4</xdr:row>
                <xdr:rowOff>114300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3"/>
  </sheetPr>
  <dimension ref="B2:AD16"/>
  <sheetViews>
    <sheetView showGridLines="0" workbookViewId="0">
      <selection activeCell="C2" sqref="C2"/>
    </sheetView>
  </sheetViews>
  <sheetFormatPr defaultRowHeight="12.75" x14ac:dyDescent="0.2"/>
  <cols>
    <col min="1" max="1" width="9.140625" style="61"/>
    <col min="2" max="2" width="22.28515625" style="61" bestFit="1" customWidth="1"/>
    <col min="3" max="3" width="19.85546875" style="61" bestFit="1" customWidth="1"/>
    <col min="4" max="4" width="14" style="61" bestFit="1" customWidth="1"/>
    <col min="5" max="5" width="31.140625" style="61" bestFit="1" customWidth="1"/>
    <col min="6" max="6" width="13.28515625" style="61" bestFit="1" customWidth="1"/>
    <col min="7" max="8" width="13.42578125" style="61" bestFit="1" customWidth="1"/>
    <col min="9" max="11" width="14.85546875" style="61" bestFit="1" customWidth="1"/>
    <col min="12" max="12" width="26.42578125" style="61" bestFit="1" customWidth="1"/>
    <col min="13" max="14" width="27" style="61" bestFit="1" customWidth="1"/>
    <col min="15" max="15" width="22" style="61" bestFit="1" customWidth="1"/>
    <col min="16" max="16" width="28" style="61" bestFit="1" customWidth="1"/>
    <col min="17" max="17" width="28.5703125" style="61" bestFit="1" customWidth="1"/>
    <col min="18" max="18" width="26.42578125" style="61" bestFit="1" customWidth="1"/>
    <col min="19" max="20" width="27" style="61" bestFit="1" customWidth="1"/>
    <col min="21" max="21" width="26.42578125" style="61" bestFit="1" customWidth="1"/>
    <col min="22" max="22" width="25.85546875" style="61" bestFit="1" customWidth="1"/>
    <col min="23" max="23" width="27" style="61" bestFit="1" customWidth="1"/>
    <col min="24" max="24" width="14.85546875" style="61" bestFit="1" customWidth="1"/>
    <col min="25" max="25" width="10.42578125" style="61" bestFit="1" customWidth="1"/>
    <col min="26" max="26" width="26.42578125" style="61" bestFit="1" customWidth="1"/>
    <col min="27" max="27" width="8.5703125" style="61" bestFit="1" customWidth="1"/>
    <col min="28" max="28" width="2.140625" style="61" bestFit="1" customWidth="1"/>
    <col min="29" max="29" width="9.140625" style="61"/>
    <col min="30" max="30" width="4.7109375" style="61" bestFit="1" customWidth="1"/>
    <col min="31" max="16384" width="9.140625" style="61"/>
  </cols>
  <sheetData>
    <row r="2" spans="2:30" x14ac:dyDescent="0.2">
      <c r="B2" s="109" t="s">
        <v>187</v>
      </c>
      <c r="C2" s="61" t="s">
        <v>232</v>
      </c>
      <c r="Z2" s="61" t="s">
        <v>0</v>
      </c>
      <c r="AA2" s="61" t="s">
        <v>1</v>
      </c>
    </row>
    <row r="4" spans="2:30" ht="15" x14ac:dyDescent="0.25">
      <c r="B4" s="109" t="s">
        <v>62</v>
      </c>
      <c r="C4" s="109" t="s">
        <v>164</v>
      </c>
      <c r="D4" s="109" t="s">
        <v>177</v>
      </c>
      <c r="E4" s="109" t="s">
        <v>189</v>
      </c>
      <c r="F4" s="61" t="s">
        <v>234</v>
      </c>
      <c r="G4" s="61" t="s">
        <v>235</v>
      </c>
      <c r="H4"/>
      <c r="J4"/>
      <c r="K4"/>
      <c r="L4"/>
      <c r="M4"/>
      <c r="N4"/>
      <c r="O4"/>
      <c r="P4"/>
    </row>
    <row r="5" spans="2:30" ht="15" x14ac:dyDescent="0.25">
      <c r="B5" s="61" t="s">
        <v>69</v>
      </c>
      <c r="C5" s="61">
        <v>101020</v>
      </c>
      <c r="D5" s="61" t="s">
        <v>178</v>
      </c>
      <c r="E5" s="61" t="s">
        <v>215</v>
      </c>
      <c r="F5" s="110">
        <v>40</v>
      </c>
      <c r="G5" s="111">
        <v>160</v>
      </c>
      <c r="H5"/>
      <c r="J5"/>
      <c r="K5"/>
      <c r="L5"/>
      <c r="M5"/>
      <c r="N5"/>
      <c r="O5"/>
      <c r="P5"/>
      <c r="Z5" s="61" t="s">
        <v>2</v>
      </c>
      <c r="AD5" s="61" t="s">
        <v>3</v>
      </c>
    </row>
    <row r="6" spans="2:30" ht="15" x14ac:dyDescent="0.25">
      <c r="E6" s="61" t="s">
        <v>214</v>
      </c>
      <c r="F6" s="110">
        <v>20</v>
      </c>
      <c r="G6" s="111">
        <v>100</v>
      </c>
      <c r="H6"/>
      <c r="J6"/>
      <c r="K6"/>
      <c r="L6"/>
      <c r="M6"/>
      <c r="N6"/>
      <c r="O6"/>
      <c r="P6"/>
      <c r="Z6" s="61" t="s">
        <v>11</v>
      </c>
    </row>
    <row r="7" spans="2:30" ht="15" x14ac:dyDescent="0.25">
      <c r="E7" s="61" t="s">
        <v>216</v>
      </c>
      <c r="F7" s="110">
        <v>60</v>
      </c>
      <c r="G7" s="111">
        <v>600</v>
      </c>
      <c r="H7"/>
      <c r="J7"/>
      <c r="K7"/>
      <c r="L7"/>
      <c r="M7"/>
      <c r="N7"/>
      <c r="O7"/>
      <c r="P7"/>
      <c r="Z7" s="61" t="s">
        <v>4</v>
      </c>
      <c r="AA7" s="61" t="s">
        <v>5</v>
      </c>
      <c r="AB7" s="61" t="s">
        <v>6</v>
      </c>
    </row>
    <row r="8" spans="2:30" ht="15" x14ac:dyDescent="0.25">
      <c r="B8" s="61" t="s">
        <v>233</v>
      </c>
      <c r="F8" s="110">
        <v>120</v>
      </c>
      <c r="G8" s="111">
        <v>860</v>
      </c>
      <c r="H8"/>
      <c r="J8"/>
      <c r="K8"/>
      <c r="L8"/>
      <c r="M8"/>
      <c r="N8"/>
      <c r="O8"/>
      <c r="P8"/>
      <c r="Y8" s="61">
        <v>3</v>
      </c>
      <c r="Z8" s="61" t="s">
        <v>7</v>
      </c>
    </row>
    <row r="9" spans="2:30" ht="15" x14ac:dyDescent="0.25">
      <c r="B9"/>
      <c r="C9"/>
      <c r="D9"/>
      <c r="E9"/>
      <c r="F9"/>
      <c r="G9"/>
      <c r="H9"/>
      <c r="J9"/>
      <c r="K9"/>
      <c r="L9"/>
      <c r="M9"/>
      <c r="N9"/>
      <c r="O9"/>
      <c r="P9"/>
      <c r="X9" s="61" t="s">
        <v>20</v>
      </c>
      <c r="Y9" s="61" t="s">
        <v>19</v>
      </c>
      <c r="Z9" s="61" t="s">
        <v>17</v>
      </c>
    </row>
    <row r="10" spans="2:30" ht="15" x14ac:dyDescent="0.25">
      <c r="B10"/>
      <c r="C10"/>
      <c r="D10"/>
      <c r="E10"/>
      <c r="F10"/>
      <c r="G10"/>
      <c r="H10"/>
      <c r="J10"/>
      <c r="K10"/>
      <c r="L10"/>
      <c r="M10"/>
      <c r="N10"/>
      <c r="O10"/>
      <c r="P10"/>
      <c r="Z10" s="61" t="s">
        <v>8</v>
      </c>
    </row>
    <row r="11" spans="2:30" ht="15" x14ac:dyDescent="0.25">
      <c r="B11"/>
      <c r="C11"/>
      <c r="D11"/>
      <c r="E11"/>
      <c r="F11"/>
      <c r="G11"/>
      <c r="H11"/>
      <c r="J11"/>
      <c r="K11"/>
      <c r="L11"/>
      <c r="M11"/>
      <c r="N11"/>
      <c r="O11"/>
      <c r="P11"/>
      <c r="Z11" s="61" t="s">
        <v>9</v>
      </c>
    </row>
    <row r="12" spans="2:30" ht="15" x14ac:dyDescent="0.25">
      <c r="B12"/>
      <c r="C12"/>
      <c r="D12"/>
      <c r="E12"/>
      <c r="F12"/>
      <c r="G12"/>
      <c r="H12"/>
      <c r="Z12" s="61" t="s">
        <v>10</v>
      </c>
    </row>
    <row r="13" spans="2:30" ht="15" x14ac:dyDescent="0.25">
      <c r="B13"/>
      <c r="C13"/>
      <c r="D13"/>
      <c r="E13"/>
      <c r="F13"/>
      <c r="G13"/>
      <c r="H13"/>
      <c r="Y13" s="61" t="s">
        <v>18</v>
      </c>
      <c r="Z13" s="61" t="s">
        <v>12</v>
      </c>
      <c r="AA13" s="61" t="s">
        <v>13</v>
      </c>
    </row>
    <row r="14" spans="2:30" ht="15" x14ac:dyDescent="0.25">
      <c r="B14"/>
      <c r="C14"/>
      <c r="D14"/>
      <c r="E14"/>
      <c r="F14"/>
      <c r="G14"/>
      <c r="H14"/>
      <c r="AA14" s="61" t="s">
        <v>14</v>
      </c>
    </row>
    <row r="15" spans="2:30" x14ac:dyDescent="0.2">
      <c r="AA15" s="61" t="s">
        <v>15</v>
      </c>
    </row>
    <row r="16" spans="2:30" x14ac:dyDescent="0.2">
      <c r="AA16" s="61" t="s">
        <v>16</v>
      </c>
    </row>
  </sheetData>
  <pageMargins left="0.511811024" right="0.511811024" top="0.78740157499999996" bottom="0.78740157499999996" header="0.31496062000000002" footer="0.31496062000000002"/>
  <customProperties>
    <customPr name="IbpWorksheetKeyString_GU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>
    <tabColor theme="7"/>
  </sheetPr>
  <dimension ref="A1"/>
  <sheetViews>
    <sheetView workbookViewId="0">
      <selection activeCell="Q19" sqref="Q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customProperties>
    <customPr name="IbpWorksheetKeyString_GU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00B0F0"/>
  </sheetPr>
  <dimension ref="A1:I10"/>
  <sheetViews>
    <sheetView workbookViewId="0">
      <selection activeCell="B4" sqref="B4"/>
    </sheetView>
  </sheetViews>
  <sheetFormatPr defaultColWidth="25.28515625" defaultRowHeight="15" x14ac:dyDescent="0.25"/>
  <cols>
    <col min="1" max="16384" width="25.28515625" style="52"/>
  </cols>
  <sheetData>
    <row r="1" spans="1:9" ht="15.75" thickBot="1" x14ac:dyDescent="0.3">
      <c r="A1" s="123" t="s">
        <v>264</v>
      </c>
      <c r="B1" s="123" t="s">
        <v>255</v>
      </c>
      <c r="C1" s="123" t="s">
        <v>64</v>
      </c>
      <c r="D1" s="123" t="s">
        <v>259</v>
      </c>
      <c r="E1" s="123" t="s">
        <v>65</v>
      </c>
      <c r="F1" s="123" t="s">
        <v>253</v>
      </c>
      <c r="G1" s="123" t="s">
        <v>268</v>
      </c>
      <c r="H1" s="123" t="s">
        <v>254</v>
      </c>
      <c r="I1" s="124" t="s">
        <v>252</v>
      </c>
    </row>
    <row r="2" spans="1:9" x14ac:dyDescent="0.25">
      <c r="A2" s="125" t="s">
        <v>286</v>
      </c>
      <c r="B2" s="125" t="s">
        <v>292</v>
      </c>
      <c r="C2" s="125"/>
      <c r="D2" s="125"/>
      <c r="E2" s="125"/>
      <c r="F2" s="125"/>
      <c r="G2" s="125"/>
      <c r="H2" s="125"/>
      <c r="I2" s="121"/>
    </row>
    <row r="3" spans="1:9" x14ac:dyDescent="0.25">
      <c r="A3" s="125" t="s">
        <v>284</v>
      </c>
      <c r="B3" s="125" t="s">
        <v>285</v>
      </c>
      <c r="C3" s="125" t="s">
        <v>289</v>
      </c>
      <c r="D3" s="125" t="s">
        <v>291</v>
      </c>
      <c r="E3" s="125">
        <v>4732323232</v>
      </c>
      <c r="F3" s="125" t="s">
        <v>288</v>
      </c>
      <c r="G3" s="125" t="s">
        <v>290</v>
      </c>
      <c r="H3" s="125" t="s">
        <v>287</v>
      </c>
      <c r="I3" s="121"/>
    </row>
    <row r="4" spans="1:9" x14ac:dyDescent="0.25">
      <c r="A4" s="125" t="s">
        <v>267</v>
      </c>
      <c r="B4" s="125" t="s">
        <v>278</v>
      </c>
      <c r="C4" s="125" t="s">
        <v>282</v>
      </c>
      <c r="D4" s="125" t="s">
        <v>279</v>
      </c>
      <c r="E4" s="125" t="s">
        <v>283</v>
      </c>
      <c r="F4" s="125" t="s">
        <v>281</v>
      </c>
      <c r="G4" s="125" t="s">
        <v>276</v>
      </c>
      <c r="H4" s="125" t="s">
        <v>280</v>
      </c>
      <c r="I4" s="121"/>
    </row>
    <row r="5" spans="1:9" x14ac:dyDescent="0.25">
      <c r="A5" s="125" t="s">
        <v>266</v>
      </c>
      <c r="B5" s="125" t="s">
        <v>278</v>
      </c>
      <c r="C5" s="125" t="s">
        <v>282</v>
      </c>
      <c r="D5" s="125" t="s">
        <v>279</v>
      </c>
      <c r="E5" s="125" t="s">
        <v>283</v>
      </c>
      <c r="F5" s="125" t="s">
        <v>281</v>
      </c>
      <c r="G5" s="125" t="s">
        <v>276</v>
      </c>
      <c r="H5" s="125" t="s">
        <v>280</v>
      </c>
      <c r="I5" s="121"/>
    </row>
    <row r="6" spans="1:9" x14ac:dyDescent="0.25">
      <c r="A6" s="125" t="s">
        <v>265</v>
      </c>
      <c r="B6" s="125" t="s">
        <v>278</v>
      </c>
      <c r="C6" s="125" t="s">
        <v>282</v>
      </c>
      <c r="D6" s="125" t="s">
        <v>279</v>
      </c>
      <c r="E6" s="125" t="s">
        <v>283</v>
      </c>
      <c r="F6" s="125" t="s">
        <v>281</v>
      </c>
      <c r="G6" s="125" t="s">
        <v>276</v>
      </c>
      <c r="H6" s="125" t="s">
        <v>280</v>
      </c>
      <c r="I6" s="121"/>
    </row>
    <row r="7" spans="1:9" x14ac:dyDescent="0.25">
      <c r="A7" s="125" t="s">
        <v>269</v>
      </c>
      <c r="B7" s="125" t="s">
        <v>278</v>
      </c>
      <c r="C7" s="125" t="s">
        <v>282</v>
      </c>
      <c r="D7" s="125" t="s">
        <v>279</v>
      </c>
      <c r="E7" s="125" t="s">
        <v>283</v>
      </c>
      <c r="F7" s="125" t="s">
        <v>281</v>
      </c>
      <c r="G7" s="125" t="s">
        <v>276</v>
      </c>
      <c r="H7" s="125" t="s">
        <v>280</v>
      </c>
      <c r="I7" s="121"/>
    </row>
    <row r="8" spans="1:9" x14ac:dyDescent="0.25">
      <c r="A8" s="125" t="s">
        <v>270</v>
      </c>
      <c r="B8" s="125" t="s">
        <v>272</v>
      </c>
      <c r="C8" s="125" t="s">
        <v>275</v>
      </c>
      <c r="D8" s="125" t="s">
        <v>271</v>
      </c>
      <c r="E8" s="125" t="s">
        <v>277</v>
      </c>
      <c r="F8" s="125" t="s">
        <v>274</v>
      </c>
      <c r="G8" s="125" t="s">
        <v>276</v>
      </c>
      <c r="H8" s="125" t="s">
        <v>273</v>
      </c>
      <c r="I8" s="121"/>
    </row>
    <row r="9" spans="1:9" x14ac:dyDescent="0.25">
      <c r="A9" s="120"/>
      <c r="B9" s="120"/>
      <c r="C9" s="120"/>
      <c r="D9" s="120"/>
      <c r="E9" s="120"/>
      <c r="F9" s="120"/>
      <c r="G9" s="120"/>
      <c r="H9" s="120"/>
      <c r="I9" s="121"/>
    </row>
    <row r="10" spans="1:9" x14ac:dyDescent="0.25">
      <c r="A10" s="120"/>
      <c r="B10" s="120"/>
      <c r="C10" s="120"/>
      <c r="D10" s="120"/>
      <c r="E10" s="120"/>
      <c r="F10" s="120"/>
      <c r="G10" s="120"/>
      <c r="H10" s="120"/>
      <c r="I10" s="121"/>
    </row>
  </sheetData>
  <pageMargins left="0.511811024" right="0.511811024" top="0.78740157499999996" bottom="0.78740157499999996" header="0.31496062000000002" footer="0.31496062000000002"/>
  <customProperties>
    <customPr name="IbpWorksheetKeyString_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rgb="FF00B0F0"/>
  </sheetPr>
  <dimension ref="A1:E7"/>
  <sheetViews>
    <sheetView tabSelected="1" workbookViewId="0">
      <selection activeCell="B4" sqref="B4"/>
    </sheetView>
  </sheetViews>
  <sheetFormatPr defaultRowHeight="15" x14ac:dyDescent="0.25"/>
  <cols>
    <col min="1" max="1" width="22.5703125" style="40" bestFit="1" customWidth="1"/>
    <col min="2" max="2" width="20" style="19" customWidth="1"/>
    <col min="3" max="3" width="33.42578125" style="19" bestFit="1" customWidth="1"/>
    <col min="4" max="4" width="12.85546875" style="41" bestFit="1" customWidth="1"/>
    <col min="5" max="5" width="20.28515625" style="43" bestFit="1" customWidth="1"/>
    <col min="6" max="6" width="14.28515625" customWidth="1"/>
  </cols>
  <sheetData>
    <row r="1" spans="1:5" ht="15.75" thickBot="1" x14ac:dyDescent="0.3">
      <c r="A1" s="38" t="s">
        <v>175</v>
      </c>
      <c r="B1" s="39" t="s">
        <v>188</v>
      </c>
      <c r="C1" s="39" t="s">
        <v>189</v>
      </c>
      <c r="D1" s="35" t="s">
        <v>165</v>
      </c>
      <c r="E1" s="34" t="s">
        <v>230</v>
      </c>
    </row>
    <row r="2" spans="1:5" x14ac:dyDescent="0.25">
      <c r="A2" s="132">
        <v>44434</v>
      </c>
      <c r="B2" s="40" t="s">
        <v>201</v>
      </c>
      <c r="C2" s="40" t="s">
        <v>221</v>
      </c>
      <c r="D2" s="41">
        <v>500</v>
      </c>
      <c r="E2" s="42">
        <v>100</v>
      </c>
    </row>
    <row r="3" spans="1:5" x14ac:dyDescent="0.25">
      <c r="A3" s="132">
        <v>44434</v>
      </c>
      <c r="B3" s="40" t="s">
        <v>194</v>
      </c>
      <c r="C3" s="40" t="s">
        <v>214</v>
      </c>
      <c r="D3" s="41">
        <v>100</v>
      </c>
      <c r="E3" s="42">
        <v>50</v>
      </c>
    </row>
    <row r="4" spans="1:5" x14ac:dyDescent="0.25">
      <c r="A4" s="132">
        <v>44434</v>
      </c>
      <c r="B4" s="40" t="s">
        <v>201</v>
      </c>
      <c r="C4" s="40" t="s">
        <v>221</v>
      </c>
      <c r="D4" s="41">
        <v>50</v>
      </c>
      <c r="E4" s="42">
        <v>100</v>
      </c>
    </row>
    <row r="5" spans="1:5" x14ac:dyDescent="0.25">
      <c r="A5" s="132">
        <v>44434</v>
      </c>
      <c r="B5" s="40" t="s">
        <v>194</v>
      </c>
      <c r="C5" s="40" t="s">
        <v>214</v>
      </c>
      <c r="D5" s="41">
        <v>100</v>
      </c>
      <c r="E5" s="42">
        <v>50</v>
      </c>
    </row>
    <row r="6" spans="1:5" x14ac:dyDescent="0.25">
      <c r="A6" s="132">
        <v>44434</v>
      </c>
      <c r="B6" s="40" t="s">
        <v>201</v>
      </c>
      <c r="C6" s="40" t="s">
        <v>221</v>
      </c>
      <c r="D6" s="41">
        <v>500</v>
      </c>
      <c r="E6" s="42">
        <v>5000</v>
      </c>
    </row>
    <row r="7" spans="1:5" x14ac:dyDescent="0.25">
      <c r="A7" s="132">
        <v>44434</v>
      </c>
      <c r="B7" s="40" t="s">
        <v>194</v>
      </c>
      <c r="C7" s="40" t="s">
        <v>214</v>
      </c>
      <c r="D7" s="41">
        <v>100</v>
      </c>
      <c r="E7" s="42">
        <v>1000</v>
      </c>
    </row>
  </sheetData>
  <sortState ref="A2:E11">
    <sortCondition descending="1" ref="A2:A11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customProperties>
    <customPr name="IbpWorksheetKeyString_GU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F0"/>
  </sheetPr>
  <dimension ref="A1:N21"/>
  <sheetViews>
    <sheetView workbookViewId="0">
      <selection activeCell="A2" sqref="A2"/>
    </sheetView>
  </sheetViews>
  <sheetFormatPr defaultRowHeight="15" x14ac:dyDescent="0.25"/>
  <cols>
    <col min="1" max="1" width="11.5703125" style="32" customWidth="1"/>
    <col min="2" max="2" width="19.7109375" style="32" customWidth="1"/>
    <col min="3" max="3" width="22.5703125" style="44" bestFit="1" customWidth="1"/>
    <col min="4" max="4" width="18.85546875" style="44" bestFit="1" customWidth="1"/>
    <col min="5" max="5" width="27.42578125" style="1" customWidth="1"/>
    <col min="6" max="6" width="23.85546875" style="1" customWidth="1"/>
    <col min="7" max="7" width="22.7109375" style="1" customWidth="1"/>
    <col min="8" max="8" width="24.5703125" style="1" customWidth="1"/>
    <col min="9" max="9" width="22.7109375" style="1" customWidth="1"/>
    <col min="10" max="10" width="40.28515625" style="1" customWidth="1"/>
    <col min="11" max="11" width="12.85546875" style="31" customWidth="1"/>
    <col min="12" max="12" width="13.140625" style="31" customWidth="1"/>
    <col min="13" max="13" width="13.7109375" style="31" customWidth="1"/>
    <col min="14" max="14" width="35.85546875" style="1" customWidth="1"/>
    <col min="15" max="18" width="30.7109375" style="1" customWidth="1"/>
    <col min="19" max="16384" width="9.140625" style="1"/>
  </cols>
  <sheetData>
    <row r="1" spans="1:14" customFormat="1" ht="15.75" thickBot="1" x14ac:dyDescent="0.3">
      <c r="A1" s="36" t="s">
        <v>164</v>
      </c>
      <c r="B1" s="36" t="s">
        <v>174</v>
      </c>
      <c r="C1" s="37" t="s">
        <v>175</v>
      </c>
      <c r="D1" s="37" t="s">
        <v>176</v>
      </c>
      <c r="E1" s="33" t="s">
        <v>62</v>
      </c>
      <c r="F1" s="33" t="s">
        <v>177</v>
      </c>
      <c r="G1" s="33" t="s">
        <v>187</v>
      </c>
      <c r="H1" s="33" t="s">
        <v>226</v>
      </c>
      <c r="I1" s="33" t="s">
        <v>188</v>
      </c>
      <c r="J1" s="33" t="s">
        <v>189</v>
      </c>
      <c r="K1" s="22" t="s">
        <v>165</v>
      </c>
      <c r="L1" s="22" t="s">
        <v>190</v>
      </c>
      <c r="M1" s="22" t="s">
        <v>191</v>
      </c>
      <c r="N1" s="118" t="s">
        <v>252</v>
      </c>
    </row>
    <row r="2" spans="1:14" customFormat="1" x14ac:dyDescent="0.25">
      <c r="A2" s="44">
        <v>102030</v>
      </c>
      <c r="B2" s="44">
        <v>123456</v>
      </c>
      <c r="C2" s="130">
        <v>44433</v>
      </c>
      <c r="D2" s="130">
        <v>44438</v>
      </c>
      <c r="E2" s="1" t="s">
        <v>284</v>
      </c>
      <c r="F2" s="1" t="s">
        <v>70</v>
      </c>
      <c r="G2" s="1" t="s">
        <v>180</v>
      </c>
      <c r="H2" s="1"/>
      <c r="I2" s="1" t="s">
        <v>197</v>
      </c>
      <c r="J2" s="1" t="s">
        <v>215</v>
      </c>
      <c r="K2" s="31">
        <v>1</v>
      </c>
      <c r="L2" s="45">
        <v>10</v>
      </c>
      <c r="M2" s="45">
        <v>10</v>
      </c>
      <c r="N2" s="129"/>
    </row>
    <row r="3" spans="1:14" customFormat="1" x14ac:dyDescent="0.25">
      <c r="A3" s="44">
        <v>102030</v>
      </c>
      <c r="B3" s="44">
        <v>123456</v>
      </c>
      <c r="C3" s="130">
        <v>44433</v>
      </c>
      <c r="D3" s="130">
        <v>44438</v>
      </c>
      <c r="E3" s="1" t="s">
        <v>284</v>
      </c>
      <c r="F3" s="1" t="s">
        <v>70</v>
      </c>
      <c r="G3" s="1" t="s">
        <v>180</v>
      </c>
      <c r="H3" s="1"/>
      <c r="I3" s="1" t="s">
        <v>194</v>
      </c>
      <c r="J3" s="1" t="s">
        <v>214</v>
      </c>
      <c r="K3" s="31">
        <v>10</v>
      </c>
      <c r="L3" s="45">
        <v>20</v>
      </c>
      <c r="M3" s="45">
        <v>200</v>
      </c>
      <c r="N3" s="129"/>
    </row>
    <row r="4" spans="1:14" customFormat="1" x14ac:dyDescent="0.25">
      <c r="A4" s="44">
        <v>102030</v>
      </c>
      <c r="B4" s="44">
        <v>123456</v>
      </c>
      <c r="C4" s="130">
        <v>44433</v>
      </c>
      <c r="D4" s="130">
        <v>44438</v>
      </c>
      <c r="E4" s="1" t="s">
        <v>284</v>
      </c>
      <c r="F4" s="1" t="s">
        <v>178</v>
      </c>
      <c r="G4" s="1" t="s">
        <v>180</v>
      </c>
      <c r="H4" s="1"/>
      <c r="I4" s="1" t="s">
        <v>194</v>
      </c>
      <c r="J4" s="1" t="s">
        <v>214</v>
      </c>
      <c r="K4" s="31">
        <v>10</v>
      </c>
      <c r="L4" s="45">
        <v>20</v>
      </c>
      <c r="M4" s="45">
        <v>200</v>
      </c>
      <c r="N4" s="129"/>
    </row>
    <row r="5" spans="1:14" customFormat="1" x14ac:dyDescent="0.25">
      <c r="A5" s="44">
        <v>300200100</v>
      </c>
      <c r="B5" s="44">
        <v>22222</v>
      </c>
      <c r="C5" s="130">
        <v>44434</v>
      </c>
      <c r="D5" s="130">
        <v>44435</v>
      </c>
      <c r="E5" s="1" t="s">
        <v>267</v>
      </c>
      <c r="F5" s="1" t="s">
        <v>71</v>
      </c>
      <c r="G5" s="1" t="s">
        <v>180</v>
      </c>
      <c r="H5" s="1"/>
      <c r="I5" s="1" t="s">
        <v>194</v>
      </c>
      <c r="J5" s="1" t="s">
        <v>214</v>
      </c>
      <c r="K5" s="31">
        <v>1</v>
      </c>
      <c r="L5" s="45">
        <v>1</v>
      </c>
      <c r="M5" s="45">
        <v>1</v>
      </c>
      <c r="N5" s="129"/>
    </row>
    <row r="6" spans="1:14" customFormat="1" x14ac:dyDescent="0.25">
      <c r="A6" s="44">
        <v>50100200</v>
      </c>
      <c r="B6" s="44">
        <v>123456</v>
      </c>
      <c r="C6" s="130">
        <v>44434</v>
      </c>
      <c r="D6" s="130">
        <v>44435</v>
      </c>
      <c r="E6" s="1" t="s">
        <v>267</v>
      </c>
      <c r="F6" s="1" t="s">
        <v>178</v>
      </c>
      <c r="G6" s="1" t="s">
        <v>180</v>
      </c>
      <c r="H6" s="1"/>
      <c r="I6" s="1" t="s">
        <v>197</v>
      </c>
      <c r="J6" s="1" t="s">
        <v>215</v>
      </c>
      <c r="K6" s="31">
        <v>5</v>
      </c>
      <c r="L6" s="45">
        <v>100</v>
      </c>
      <c r="M6" s="45">
        <v>500</v>
      </c>
      <c r="N6" s="129"/>
    </row>
    <row r="7" spans="1:14" customFormat="1" x14ac:dyDescent="0.25">
      <c r="A7" s="44">
        <v>50100200</v>
      </c>
      <c r="B7" s="44">
        <v>123456</v>
      </c>
      <c r="C7" s="130">
        <v>44434</v>
      </c>
      <c r="D7" s="130">
        <v>44435</v>
      </c>
      <c r="E7" s="1" t="s">
        <v>267</v>
      </c>
      <c r="F7" s="1" t="s">
        <v>178</v>
      </c>
      <c r="G7" s="1" t="s">
        <v>180</v>
      </c>
      <c r="H7" s="1"/>
      <c r="I7" s="1" t="s">
        <v>197</v>
      </c>
      <c r="J7" s="1" t="s">
        <v>215</v>
      </c>
      <c r="K7" s="31">
        <v>5</v>
      </c>
      <c r="L7" s="45">
        <v>100</v>
      </c>
      <c r="M7" s="45">
        <v>500</v>
      </c>
      <c r="N7" s="129"/>
    </row>
    <row r="8" spans="1:14" customFormat="1" x14ac:dyDescent="0.25">
      <c r="A8" s="44">
        <v>50100200</v>
      </c>
      <c r="B8" s="44">
        <v>123456</v>
      </c>
      <c r="C8" s="130">
        <v>44434</v>
      </c>
      <c r="D8" s="130">
        <v>44435</v>
      </c>
      <c r="E8" s="1" t="s">
        <v>267</v>
      </c>
      <c r="F8" s="1" t="s">
        <v>178</v>
      </c>
      <c r="G8" s="1" t="s">
        <v>180</v>
      </c>
      <c r="H8" s="1"/>
      <c r="I8" s="1" t="s">
        <v>197</v>
      </c>
      <c r="J8" s="1" t="s">
        <v>215</v>
      </c>
      <c r="K8" s="31">
        <v>5</v>
      </c>
      <c r="L8" s="45">
        <v>100</v>
      </c>
      <c r="M8" s="45">
        <v>500</v>
      </c>
      <c r="N8" s="129"/>
    </row>
    <row r="9" spans="1:14" customFormat="1" x14ac:dyDescent="0.25">
      <c r="A9" s="44">
        <v>506070</v>
      </c>
      <c r="B9" s="44">
        <v>123456</v>
      </c>
      <c r="C9" s="130">
        <v>44434</v>
      </c>
      <c r="D9" s="130">
        <v>44434</v>
      </c>
      <c r="E9" s="1" t="s">
        <v>284</v>
      </c>
      <c r="F9" s="1" t="s">
        <v>178</v>
      </c>
      <c r="G9" s="1" t="s">
        <v>180</v>
      </c>
      <c r="H9" s="1"/>
      <c r="I9" s="1" t="s">
        <v>194</v>
      </c>
      <c r="J9" s="1" t="s">
        <v>214</v>
      </c>
      <c r="K9" s="31">
        <v>1</v>
      </c>
      <c r="L9" s="45">
        <v>1</v>
      </c>
      <c r="M9" s="45">
        <v>1</v>
      </c>
      <c r="N9" s="129"/>
    </row>
    <row r="10" spans="1:14" customFormat="1" x14ac:dyDescent="0.25">
      <c r="A10" s="44">
        <v>102030</v>
      </c>
      <c r="B10" s="44">
        <v>123456</v>
      </c>
      <c r="C10" s="130">
        <v>44433</v>
      </c>
      <c r="D10" s="130">
        <v>44438</v>
      </c>
      <c r="E10" s="1" t="s">
        <v>284</v>
      </c>
      <c r="F10" s="1" t="s">
        <v>72</v>
      </c>
      <c r="G10" s="1" t="s">
        <v>180</v>
      </c>
      <c r="H10" s="1"/>
      <c r="I10" s="1" t="s">
        <v>194</v>
      </c>
      <c r="J10" s="1" t="s">
        <v>214</v>
      </c>
      <c r="K10" s="31">
        <v>10</v>
      </c>
      <c r="L10" s="45">
        <v>20</v>
      </c>
      <c r="M10" s="45">
        <v>200</v>
      </c>
      <c r="N10" s="129"/>
    </row>
    <row r="11" spans="1:14" customFormat="1" x14ac:dyDescent="0.25">
      <c r="A11" s="44">
        <v>102030</v>
      </c>
      <c r="B11" s="44">
        <v>123456</v>
      </c>
      <c r="C11" s="130">
        <v>44433</v>
      </c>
      <c r="D11" s="130">
        <v>44438</v>
      </c>
      <c r="E11" s="1" t="s">
        <v>284</v>
      </c>
      <c r="F11" s="1" t="s">
        <v>71</v>
      </c>
      <c r="G11" s="1" t="s">
        <v>180</v>
      </c>
      <c r="H11" s="1"/>
      <c r="I11" s="1" t="s">
        <v>194</v>
      </c>
      <c r="J11" s="1" t="s">
        <v>214</v>
      </c>
      <c r="K11" s="31">
        <v>10</v>
      </c>
      <c r="L11" s="45">
        <v>20</v>
      </c>
      <c r="M11" s="45">
        <v>200</v>
      </c>
      <c r="N11" s="129"/>
    </row>
    <row r="12" spans="1:14" customFormat="1" x14ac:dyDescent="0.25">
      <c r="A12" s="44">
        <v>102030</v>
      </c>
      <c r="B12" s="44">
        <v>123456</v>
      </c>
      <c r="C12" s="130">
        <v>44433</v>
      </c>
      <c r="D12" s="130">
        <v>44438</v>
      </c>
      <c r="E12" s="1" t="s">
        <v>284</v>
      </c>
      <c r="F12" s="1" t="s">
        <v>70</v>
      </c>
      <c r="G12" s="1" t="s">
        <v>180</v>
      </c>
      <c r="H12" s="1"/>
      <c r="I12" s="1" t="s">
        <v>194</v>
      </c>
      <c r="J12" s="1" t="s">
        <v>214</v>
      </c>
      <c r="K12" s="31">
        <v>10</v>
      </c>
      <c r="L12" s="45">
        <v>20</v>
      </c>
      <c r="M12" s="45">
        <v>200</v>
      </c>
      <c r="N12" s="129"/>
    </row>
    <row r="13" spans="1:14" x14ac:dyDescent="0.25">
      <c r="L13" s="45"/>
      <c r="M13" s="45"/>
    </row>
    <row r="14" spans="1:14" x14ac:dyDescent="0.25">
      <c r="L14" s="45"/>
      <c r="M14" s="45"/>
    </row>
    <row r="15" spans="1:14" x14ac:dyDescent="0.25">
      <c r="L15" s="45"/>
      <c r="M15" s="45"/>
    </row>
    <row r="16" spans="1:14" x14ac:dyDescent="0.25">
      <c r="L16" s="45"/>
      <c r="M16" s="45"/>
    </row>
    <row r="17" spans="1:13" s="49" customFormat="1" x14ac:dyDescent="0.25">
      <c r="A17" s="46"/>
      <c r="B17" s="47"/>
      <c r="C17" s="48"/>
      <c r="D17" s="48"/>
      <c r="K17" s="50"/>
      <c r="L17" s="50"/>
      <c r="M17" s="51"/>
    </row>
    <row r="18" spans="1:13" s="49" customFormat="1" x14ac:dyDescent="0.25">
      <c r="A18" s="47"/>
      <c r="B18" s="47"/>
      <c r="C18" s="48"/>
      <c r="D18" s="48"/>
      <c r="K18" s="50"/>
      <c r="L18" s="50"/>
      <c r="M18" s="50"/>
    </row>
    <row r="19" spans="1:13" s="49" customFormat="1" x14ac:dyDescent="0.25">
      <c r="A19" s="47"/>
      <c r="B19" s="47"/>
      <c r="C19" s="48"/>
      <c r="D19" s="48"/>
      <c r="K19" s="50"/>
      <c r="L19" s="50"/>
      <c r="M19" s="50"/>
    </row>
    <row r="20" spans="1:13" s="49" customFormat="1" x14ac:dyDescent="0.25">
      <c r="A20" s="47"/>
      <c r="B20" s="47"/>
      <c r="C20" s="48"/>
      <c r="D20" s="48"/>
      <c r="K20" s="50"/>
      <c r="L20" s="50"/>
      <c r="M20" s="50"/>
    </row>
    <row r="21" spans="1:13" s="49" customFormat="1" x14ac:dyDescent="0.25">
      <c r="A21" s="47"/>
      <c r="B21" s="47"/>
      <c r="C21" s="48"/>
      <c r="D21" s="48"/>
      <c r="K21" s="50"/>
      <c r="L21" s="50"/>
      <c r="M21" s="50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customProperties>
    <customPr name="IbpWorksheetKeyString_GUID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rgb="FF00B0F0"/>
  </sheetPr>
  <dimension ref="A1:C18"/>
  <sheetViews>
    <sheetView workbookViewId="0">
      <selection activeCell="K4" sqref="K4"/>
    </sheetView>
  </sheetViews>
  <sheetFormatPr defaultRowHeight="12.75" x14ac:dyDescent="0.2"/>
  <cols>
    <col min="1" max="1" width="16.28515625" style="69" bestFit="1" customWidth="1"/>
    <col min="2" max="2" width="42.42578125" style="69" bestFit="1" customWidth="1"/>
    <col min="3" max="3" width="11.140625" style="117" bestFit="1" customWidth="1"/>
    <col min="4" max="16384" width="9.140625" style="61"/>
  </cols>
  <sheetData>
    <row r="1" spans="1:3" ht="13.5" thickBot="1" x14ac:dyDescent="0.25">
      <c r="A1" s="112" t="s">
        <v>68</v>
      </c>
      <c r="B1" s="112" t="s">
        <v>67</v>
      </c>
      <c r="C1" s="113" t="s">
        <v>73</v>
      </c>
    </row>
    <row r="2" spans="1:3" x14ac:dyDescent="0.2">
      <c r="A2" s="114" t="s">
        <v>194</v>
      </c>
      <c r="B2" s="114" t="s">
        <v>214</v>
      </c>
      <c r="C2" s="115"/>
    </row>
    <row r="3" spans="1:3" x14ac:dyDescent="0.2">
      <c r="A3" s="69" t="s">
        <v>197</v>
      </c>
      <c r="B3" s="69" t="s">
        <v>215</v>
      </c>
      <c r="C3" s="116"/>
    </row>
    <row r="4" spans="1:3" x14ac:dyDescent="0.2">
      <c r="A4" s="69" t="s">
        <v>199</v>
      </c>
      <c r="B4" s="69" t="s">
        <v>216</v>
      </c>
      <c r="C4" s="116"/>
    </row>
    <row r="5" spans="1:3" x14ac:dyDescent="0.2">
      <c r="A5" s="69" t="s">
        <v>195</v>
      </c>
      <c r="B5" s="69" t="s">
        <v>217</v>
      </c>
      <c r="C5" s="116"/>
    </row>
    <row r="6" spans="1:3" x14ac:dyDescent="0.2">
      <c r="A6" s="69" t="s">
        <v>196</v>
      </c>
      <c r="B6" s="69" t="s">
        <v>218</v>
      </c>
      <c r="C6" s="116"/>
    </row>
    <row r="7" spans="1:3" x14ac:dyDescent="0.2">
      <c r="A7" s="69" t="s">
        <v>200</v>
      </c>
      <c r="B7" s="69" t="s">
        <v>219</v>
      </c>
      <c r="C7" s="116"/>
    </row>
    <row r="8" spans="1:3" x14ac:dyDescent="0.2">
      <c r="A8" s="69" t="s">
        <v>198</v>
      </c>
      <c r="B8" s="69" t="s">
        <v>220</v>
      </c>
      <c r="C8" s="116"/>
    </row>
    <row r="9" spans="1:3" x14ac:dyDescent="0.2">
      <c r="A9" s="69" t="s">
        <v>201</v>
      </c>
      <c r="B9" s="69" t="s">
        <v>221</v>
      </c>
      <c r="C9" s="116"/>
    </row>
    <row r="10" spans="1:3" x14ac:dyDescent="0.2">
      <c r="A10" s="69" t="s">
        <v>202</v>
      </c>
      <c r="B10" s="69" t="s">
        <v>222</v>
      </c>
      <c r="C10" s="116"/>
    </row>
    <row r="11" spans="1:3" x14ac:dyDescent="0.2">
      <c r="A11" s="69" t="s">
        <v>203</v>
      </c>
      <c r="B11" s="69" t="s">
        <v>223</v>
      </c>
      <c r="C11" s="116"/>
    </row>
    <row r="12" spans="1:3" x14ac:dyDescent="0.2">
      <c r="A12" s="69" t="s">
        <v>204</v>
      </c>
      <c r="B12" s="69" t="s">
        <v>224</v>
      </c>
      <c r="C12" s="116"/>
    </row>
    <row r="13" spans="1:3" x14ac:dyDescent="0.2">
      <c r="A13" s="69" t="s">
        <v>205</v>
      </c>
      <c r="B13" s="69" t="s">
        <v>225</v>
      </c>
      <c r="C13" s="116"/>
    </row>
    <row r="14" spans="1:3" x14ac:dyDescent="0.2">
      <c r="A14" s="69" t="s">
        <v>206</v>
      </c>
      <c r="B14" s="69" t="s">
        <v>55</v>
      </c>
      <c r="C14" s="116"/>
    </row>
    <row r="15" spans="1:3" x14ac:dyDescent="0.2">
      <c r="A15" s="69" t="s">
        <v>207</v>
      </c>
      <c r="B15" s="69" t="s">
        <v>56</v>
      </c>
      <c r="C15" s="116"/>
    </row>
    <row r="16" spans="1:3" x14ac:dyDescent="0.2">
      <c r="A16" s="69" t="s">
        <v>208</v>
      </c>
      <c r="B16" s="69" t="s">
        <v>57</v>
      </c>
      <c r="C16" s="116"/>
    </row>
    <row r="17" spans="1:3" x14ac:dyDescent="0.2">
      <c r="A17" s="69" t="s">
        <v>210</v>
      </c>
      <c r="B17" s="69" t="s">
        <v>58</v>
      </c>
      <c r="C17" s="116"/>
    </row>
    <row r="18" spans="1:3" x14ac:dyDescent="0.2">
      <c r="A18" s="69" t="s">
        <v>209</v>
      </c>
      <c r="B18" s="69" t="s">
        <v>59</v>
      </c>
      <c r="C18" s="116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customProperties>
    <customPr name="IbpWorksheetKeyString_GU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B4:H23"/>
  <sheetViews>
    <sheetView workbookViewId="0">
      <selection activeCell="B6" sqref="B6:B23"/>
    </sheetView>
  </sheetViews>
  <sheetFormatPr defaultRowHeight="15" x14ac:dyDescent="0.25"/>
  <cols>
    <col min="3" max="3" width="40" bestFit="1" customWidth="1"/>
    <col min="4" max="4" width="16.140625" bestFit="1" customWidth="1"/>
    <col min="5" max="7" width="17.5703125" customWidth="1"/>
    <col min="8" max="8" width="12.28515625" bestFit="1" customWidth="1"/>
  </cols>
  <sheetData>
    <row r="4" spans="2:8" x14ac:dyDescent="0.25">
      <c r="D4" t="s">
        <v>166</v>
      </c>
      <c r="E4" t="s">
        <v>31</v>
      </c>
      <c r="F4" t="s">
        <v>32</v>
      </c>
      <c r="G4" t="s">
        <v>33</v>
      </c>
      <c r="H4" t="s">
        <v>23</v>
      </c>
    </row>
    <row r="5" spans="2:8" x14ac:dyDescent="0.25">
      <c r="B5" t="s">
        <v>21</v>
      </c>
      <c r="C5" t="s">
        <v>22</v>
      </c>
    </row>
    <row r="6" spans="2:8" x14ac:dyDescent="0.25">
      <c r="B6" t="s">
        <v>24</v>
      </c>
      <c r="C6" t="s">
        <v>34</v>
      </c>
      <c r="D6">
        <v>10</v>
      </c>
    </row>
    <row r="7" spans="2:8" x14ac:dyDescent="0.25">
      <c r="B7" t="s">
        <v>25</v>
      </c>
      <c r="C7" t="s">
        <v>35</v>
      </c>
      <c r="D7">
        <v>15</v>
      </c>
    </row>
    <row r="8" spans="2:8" x14ac:dyDescent="0.25">
      <c r="B8" t="s">
        <v>26</v>
      </c>
      <c r="C8" t="s">
        <v>36</v>
      </c>
      <c r="D8">
        <v>20</v>
      </c>
    </row>
    <row r="9" spans="2:8" x14ac:dyDescent="0.25">
      <c r="B9" t="s">
        <v>27</v>
      </c>
      <c r="C9" t="s">
        <v>37</v>
      </c>
      <c r="D9">
        <v>25</v>
      </c>
    </row>
    <row r="10" spans="2:8" x14ac:dyDescent="0.25">
      <c r="B10" t="s">
        <v>28</v>
      </c>
      <c r="C10" t="s">
        <v>38</v>
      </c>
      <c r="D10">
        <v>30</v>
      </c>
    </row>
    <row r="11" spans="2:8" x14ac:dyDescent="0.25">
      <c r="B11" t="s">
        <v>29</v>
      </c>
      <c r="C11" t="s">
        <v>39</v>
      </c>
      <c r="D11">
        <v>35</v>
      </c>
    </row>
    <row r="12" spans="2:8" x14ac:dyDescent="0.25">
      <c r="B12" t="s">
        <v>30</v>
      </c>
      <c r="C12" t="s">
        <v>40</v>
      </c>
      <c r="D12">
        <v>40</v>
      </c>
    </row>
    <row r="13" spans="2:8" x14ac:dyDescent="0.25">
      <c r="B13" t="s">
        <v>41</v>
      </c>
      <c r="C13" t="s">
        <v>42</v>
      </c>
      <c r="D13">
        <v>45</v>
      </c>
    </row>
    <row r="14" spans="2:8" x14ac:dyDescent="0.25">
      <c r="B14" t="s">
        <v>44</v>
      </c>
      <c r="C14" t="s">
        <v>43</v>
      </c>
      <c r="D14">
        <v>50</v>
      </c>
    </row>
    <row r="15" spans="2:8" x14ac:dyDescent="0.25">
      <c r="B15" t="s">
        <v>45</v>
      </c>
      <c r="C15" t="s">
        <v>52</v>
      </c>
      <c r="D15">
        <v>55</v>
      </c>
    </row>
    <row r="16" spans="2:8" x14ac:dyDescent="0.25">
      <c r="B16" t="s">
        <v>46</v>
      </c>
      <c r="C16" t="s">
        <v>53</v>
      </c>
      <c r="D16">
        <v>60</v>
      </c>
    </row>
    <row r="17" spans="2:4" x14ac:dyDescent="0.25">
      <c r="B17" t="s">
        <v>47</v>
      </c>
      <c r="C17" t="s">
        <v>54</v>
      </c>
      <c r="D17">
        <v>65</v>
      </c>
    </row>
    <row r="18" spans="2:4" x14ac:dyDescent="0.25">
      <c r="B18" t="s">
        <v>48</v>
      </c>
      <c r="C18" t="s">
        <v>55</v>
      </c>
      <c r="D18">
        <v>70</v>
      </c>
    </row>
    <row r="19" spans="2:4" x14ac:dyDescent="0.25">
      <c r="B19" t="s">
        <v>49</v>
      </c>
      <c r="C19" t="s">
        <v>55</v>
      </c>
      <c r="D19">
        <v>75</v>
      </c>
    </row>
    <row r="20" spans="2:4" x14ac:dyDescent="0.25">
      <c r="B20" t="s">
        <v>50</v>
      </c>
      <c r="C20" t="s">
        <v>56</v>
      </c>
      <c r="D20">
        <v>80</v>
      </c>
    </row>
    <row r="21" spans="2:4" x14ac:dyDescent="0.25">
      <c r="B21" t="s">
        <v>51</v>
      </c>
      <c r="C21" t="s">
        <v>57</v>
      </c>
      <c r="D21">
        <v>85</v>
      </c>
    </row>
    <row r="22" spans="2:4" x14ac:dyDescent="0.25">
      <c r="B22" t="s">
        <v>60</v>
      </c>
      <c r="C22" t="s">
        <v>58</v>
      </c>
      <c r="D22">
        <v>90</v>
      </c>
    </row>
    <row r="23" spans="2:4" x14ac:dyDescent="0.25">
      <c r="B23" t="s">
        <v>61</v>
      </c>
      <c r="C23" t="s">
        <v>59</v>
      </c>
      <c r="D23">
        <v>95</v>
      </c>
    </row>
  </sheetData>
  <phoneticPr fontId="1" type="noConversion"/>
  <pageMargins left="0.511811024" right="0.511811024" top="0.78740157499999996" bottom="0.78740157499999996" header="0.31496062000000002" footer="0.31496062000000002"/>
  <customProperties>
    <customPr name="IbpWorksheetKeyString_GU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pageSetUpPr fitToPage="1"/>
  </sheetPr>
  <dimension ref="B1:P28"/>
  <sheetViews>
    <sheetView showGridLines="0" zoomScaleNormal="100" workbookViewId="0">
      <selection activeCell="M4" sqref="M4"/>
    </sheetView>
  </sheetViews>
  <sheetFormatPr defaultColWidth="11.28515625" defaultRowHeight="24" customHeight="1" x14ac:dyDescent="0.25"/>
  <cols>
    <col min="1" max="1" width="2.28515625" style="2" customWidth="1"/>
    <col min="2" max="2" width="16.140625" style="5" customWidth="1"/>
    <col min="3" max="3" width="15" style="3" customWidth="1"/>
    <col min="4" max="4" width="17" style="3" customWidth="1"/>
    <col min="5" max="5" width="16.5703125" style="3" customWidth="1"/>
    <col min="6" max="6" width="13.85546875" style="4" customWidth="1"/>
    <col min="7" max="7" width="16" style="4" bestFit="1" customWidth="1"/>
    <col min="8" max="8" width="10.28515625" style="4" bestFit="1" customWidth="1"/>
    <col min="9" max="9" width="13.85546875" style="4" customWidth="1"/>
    <col min="10" max="11" width="17" style="4" customWidth="1"/>
    <col min="12" max="12" width="14" style="4" customWidth="1"/>
    <col min="13" max="13" width="16.42578125" style="4" customWidth="1"/>
    <col min="14" max="14" width="18.42578125" style="4" customWidth="1"/>
    <col min="15" max="15" width="18.5703125" style="3" customWidth="1"/>
    <col min="16" max="16" width="2.28515625" style="2" customWidth="1"/>
    <col min="17" max="16384" width="11.28515625" style="2"/>
  </cols>
  <sheetData>
    <row r="1" spans="2:16" s="12" customFormat="1" ht="116.25" customHeight="1" x14ac:dyDescent="0.2">
      <c r="B1" s="15"/>
      <c r="C1" s="14"/>
      <c r="D1" s="14"/>
      <c r="E1" s="14"/>
      <c r="J1" s="13"/>
      <c r="L1" s="13"/>
      <c r="M1" s="13"/>
      <c r="P1" s="12" t="s">
        <v>163</v>
      </c>
    </row>
    <row r="2" spans="2:16" ht="23.25" customHeight="1" x14ac:dyDescent="0.25">
      <c r="C2" s="11"/>
      <c r="D2" s="11"/>
      <c r="E2" s="11"/>
      <c r="F2" s="2"/>
      <c r="G2" s="2"/>
      <c r="H2" s="2"/>
      <c r="I2" s="2"/>
      <c r="J2" s="10"/>
      <c r="K2" s="2"/>
      <c r="L2" s="10"/>
      <c r="M2" s="10"/>
      <c r="N2" s="9" t="s">
        <v>162</v>
      </c>
      <c r="O2" s="8" t="s">
        <v>81</v>
      </c>
    </row>
    <row r="3" spans="2:16" s="5" customFormat="1" ht="50.1" customHeight="1" x14ac:dyDescent="0.25">
      <c r="B3" s="7" t="s">
        <v>161</v>
      </c>
      <c r="C3" s="7" t="s">
        <v>160</v>
      </c>
      <c r="D3" s="7" t="s">
        <v>159</v>
      </c>
      <c r="E3" s="7" t="s">
        <v>158</v>
      </c>
      <c r="F3" s="7" t="s">
        <v>157</v>
      </c>
      <c r="G3" s="18" t="s">
        <v>31</v>
      </c>
      <c r="H3" s="18" t="s">
        <v>167</v>
      </c>
      <c r="I3" s="18" t="s">
        <v>33</v>
      </c>
      <c r="J3" s="7" t="s">
        <v>156</v>
      </c>
      <c r="K3" s="7" t="s">
        <v>155</v>
      </c>
      <c r="L3" s="7" t="s">
        <v>154</v>
      </c>
      <c r="M3" s="7" t="s">
        <v>153</v>
      </c>
      <c r="N3" s="7" t="s">
        <v>152</v>
      </c>
      <c r="O3" s="7" t="s">
        <v>151</v>
      </c>
    </row>
    <row r="4" spans="2:16" ht="24" customHeight="1" x14ac:dyDescent="0.25">
      <c r="B4" s="5">
        <f>IFERROR((Inventory_List_Table[[#This Row],[Quantidade em estoque]]&lt;=Inventory_List_Table[[#This Row],[Nível de estoque]])*(Inventory_List_Table[[#This Row],[Descontinuado?]]="")*RealceValor,0)</f>
        <v>1</v>
      </c>
      <c r="C4" s="3" t="s">
        <v>150</v>
      </c>
      <c r="D4" s="3" t="s">
        <v>149</v>
      </c>
      <c r="E4" s="3" t="s">
        <v>148</v>
      </c>
      <c r="F4" s="6">
        <v>51</v>
      </c>
      <c r="G4" s="4">
        <v>50</v>
      </c>
      <c r="H4" s="4">
        <v>10</v>
      </c>
      <c r="I4" s="4">
        <v>30</v>
      </c>
      <c r="J4" s="4">
        <v>25</v>
      </c>
      <c r="K4" s="6">
        <f>Inventory_List_Table[[#This Row],[Preço unitário]]*Inventory_List_Table[[#This Row],[Quantidade em estoque]]</f>
        <v>1275</v>
      </c>
      <c r="L4" s="4">
        <v>29</v>
      </c>
      <c r="M4" s="4">
        <v>13</v>
      </c>
      <c r="N4" s="4">
        <v>50</v>
      </c>
    </row>
    <row r="5" spans="2:16" ht="24" customHeight="1" x14ac:dyDescent="0.25">
      <c r="B5" s="5">
        <f>IFERROR((Inventory_List_Table[[#This Row],[Quantidade em estoque]]&lt;=Inventory_List_Table[[#This Row],[Nível de estoque]])*(Inventory_List_Table[[#This Row],[Descontinuado?]]="")*RealceValor,0)</f>
        <v>1</v>
      </c>
      <c r="C5" s="3" t="s">
        <v>147</v>
      </c>
      <c r="D5" s="3" t="s">
        <v>146</v>
      </c>
      <c r="E5" s="3" t="s">
        <v>145</v>
      </c>
      <c r="F5" s="6">
        <v>93</v>
      </c>
      <c r="G5" s="6"/>
      <c r="H5" s="6"/>
      <c r="I5" s="6"/>
      <c r="J5" s="4">
        <v>132</v>
      </c>
      <c r="K5" s="6">
        <f>Inventory_List_Table[[#This Row],[Preço unitário]]*Inventory_List_Table[[#This Row],[Quantidade em estoque]]</f>
        <v>12276</v>
      </c>
      <c r="L5" s="4">
        <v>231</v>
      </c>
      <c r="M5" s="4">
        <v>4</v>
      </c>
      <c r="N5" s="4">
        <v>50</v>
      </c>
    </row>
    <row r="6" spans="2:16" ht="24" customHeight="1" x14ac:dyDescent="0.25">
      <c r="B6" s="5">
        <f>IFERROR((Inventory_List_Table[[#This Row],[Quantidade em estoque]]&lt;=Inventory_List_Table[[#This Row],[Nível de estoque]])*(Inventory_List_Table[[#This Row],[Descontinuado?]]="")*RealceValor,0)</f>
        <v>0</v>
      </c>
      <c r="C6" s="3" t="s">
        <v>144</v>
      </c>
      <c r="D6" s="3" t="s">
        <v>143</v>
      </c>
      <c r="E6" s="3" t="s">
        <v>142</v>
      </c>
      <c r="F6" s="6">
        <v>57</v>
      </c>
      <c r="G6" s="6"/>
      <c r="H6" s="6"/>
      <c r="I6" s="6"/>
      <c r="J6" s="4">
        <v>151</v>
      </c>
      <c r="K6" s="6">
        <f>Inventory_List_Table[[#This Row],[Preço unitário]]*Inventory_List_Table[[#This Row],[Quantidade em estoque]]</f>
        <v>8607</v>
      </c>
      <c r="L6" s="4">
        <v>114</v>
      </c>
      <c r="M6" s="4">
        <v>11</v>
      </c>
      <c r="N6" s="4">
        <v>150</v>
      </c>
    </row>
    <row r="7" spans="2:16" ht="24" customHeight="1" x14ac:dyDescent="0.25">
      <c r="B7" s="5">
        <f>IFERROR((Inventory_List_Table[[#This Row],[Quantidade em estoque]]&lt;=Inventory_List_Table[[#This Row],[Nível de estoque]])*(Inventory_List_Table[[#This Row],[Descontinuado?]]="")*RealceValor,0)</f>
        <v>0</v>
      </c>
      <c r="C7" s="3" t="s">
        <v>141</v>
      </c>
      <c r="D7" s="3" t="s">
        <v>140</v>
      </c>
      <c r="E7" s="3" t="s">
        <v>139</v>
      </c>
      <c r="F7" s="6">
        <v>19</v>
      </c>
      <c r="G7" s="6"/>
      <c r="H7" s="6"/>
      <c r="I7" s="6"/>
      <c r="J7" s="4">
        <v>186</v>
      </c>
      <c r="K7" s="6">
        <f>Inventory_List_Table[[#This Row],[Preço unitário]]*Inventory_List_Table[[#This Row],[Quantidade em estoque]]</f>
        <v>3534</v>
      </c>
      <c r="L7" s="4">
        <v>158</v>
      </c>
      <c r="M7" s="4">
        <v>6</v>
      </c>
      <c r="N7" s="4">
        <v>50</v>
      </c>
    </row>
    <row r="8" spans="2:16" ht="24" customHeight="1" x14ac:dyDescent="0.25">
      <c r="B8" s="5">
        <f>IFERROR((Inventory_List_Table[[#This Row],[Quantidade em estoque]]&lt;=Inventory_List_Table[[#This Row],[Nível de estoque]])*(Inventory_List_Table[[#This Row],[Descontinuado?]]="")*RealceValor,0)</f>
        <v>0</v>
      </c>
      <c r="C8" s="3" t="s">
        <v>138</v>
      </c>
      <c r="D8" s="3" t="s">
        <v>137</v>
      </c>
      <c r="E8" s="3" t="s">
        <v>136</v>
      </c>
      <c r="F8" s="6">
        <v>75</v>
      </c>
      <c r="G8" s="6"/>
      <c r="H8" s="6"/>
      <c r="I8" s="6"/>
      <c r="J8" s="4">
        <v>62</v>
      </c>
      <c r="K8" s="6">
        <f>Inventory_List_Table[[#This Row],[Preço unitário]]*Inventory_List_Table[[#This Row],[Quantidade em estoque]]</f>
        <v>4650</v>
      </c>
      <c r="L8" s="4">
        <v>39</v>
      </c>
      <c r="M8" s="4">
        <v>12</v>
      </c>
      <c r="N8" s="4">
        <v>50</v>
      </c>
    </row>
    <row r="9" spans="2:16" ht="24" customHeight="1" x14ac:dyDescent="0.25">
      <c r="B9" s="5">
        <f>IFERROR((Inventory_List_Table[[#This Row],[Quantidade em estoque]]&lt;=Inventory_List_Table[[#This Row],[Nível de estoque]])*(Inventory_List_Table[[#This Row],[Descontinuado?]]="")*RealceValor,0)</f>
        <v>1</v>
      </c>
      <c r="C9" s="3" t="s">
        <v>135</v>
      </c>
      <c r="D9" s="3" t="s">
        <v>134</v>
      </c>
      <c r="E9" s="3" t="s">
        <v>133</v>
      </c>
      <c r="F9" s="6">
        <v>11</v>
      </c>
      <c r="G9" s="6"/>
      <c r="H9" s="6"/>
      <c r="I9" s="6"/>
      <c r="J9" s="4">
        <v>5</v>
      </c>
      <c r="K9" s="6">
        <f>Inventory_List_Table[[#This Row],[Preço unitário]]*Inventory_List_Table[[#This Row],[Quantidade em estoque]]</f>
        <v>55</v>
      </c>
      <c r="L9" s="4">
        <v>9</v>
      </c>
      <c r="M9" s="4">
        <v>13</v>
      </c>
      <c r="N9" s="4">
        <v>150</v>
      </c>
    </row>
    <row r="10" spans="2:16" ht="24" customHeight="1" x14ac:dyDescent="0.25">
      <c r="B10" s="5">
        <f>IFERROR((Inventory_List_Table[[#This Row],[Quantidade em estoque]]&lt;=Inventory_List_Table[[#This Row],[Nível de estoque]])*(Inventory_List_Table[[#This Row],[Descontinuado?]]="")*RealceValor,0)</f>
        <v>0</v>
      </c>
      <c r="C10" s="3" t="s">
        <v>132</v>
      </c>
      <c r="D10" s="3" t="s">
        <v>131</v>
      </c>
      <c r="E10" s="3" t="s">
        <v>130</v>
      </c>
      <c r="F10" s="6">
        <v>56</v>
      </c>
      <c r="G10" s="6"/>
      <c r="H10" s="6"/>
      <c r="I10" s="6"/>
      <c r="J10" s="4">
        <v>58</v>
      </c>
      <c r="K10" s="6">
        <f>Inventory_List_Table[[#This Row],[Preço unitário]]*Inventory_List_Table[[#This Row],[Quantidade em estoque]]</f>
        <v>3248</v>
      </c>
      <c r="L10" s="4">
        <v>109</v>
      </c>
      <c r="M10" s="4">
        <v>7</v>
      </c>
      <c r="N10" s="4">
        <v>100</v>
      </c>
      <c r="O10" s="3" t="s">
        <v>81</v>
      </c>
    </row>
    <row r="11" spans="2:16" ht="24" customHeight="1" x14ac:dyDescent="0.25">
      <c r="B11" s="5">
        <f>IFERROR((Inventory_List_Table[[#This Row],[Quantidade em estoque]]&lt;=Inventory_List_Table[[#This Row],[Nível de estoque]])*(Inventory_List_Table[[#This Row],[Descontinuado?]]="")*RealceValor,0)</f>
        <v>1</v>
      </c>
      <c r="C11" s="3" t="s">
        <v>129</v>
      </c>
      <c r="D11" s="3" t="s">
        <v>128</v>
      </c>
      <c r="E11" s="3" t="s">
        <v>127</v>
      </c>
      <c r="F11" s="6">
        <v>38</v>
      </c>
      <c r="G11" s="6"/>
      <c r="H11" s="6"/>
      <c r="I11" s="6"/>
      <c r="J11" s="4">
        <v>101</v>
      </c>
      <c r="K11" s="6">
        <f>Inventory_List_Table[[#This Row],[Preço unitário]]*Inventory_List_Table[[#This Row],[Quantidade em estoque]]</f>
        <v>3838</v>
      </c>
      <c r="L11" s="4">
        <v>162</v>
      </c>
      <c r="M11" s="4">
        <v>3</v>
      </c>
      <c r="N11" s="4">
        <v>100</v>
      </c>
    </row>
    <row r="12" spans="2:16" ht="24" customHeight="1" x14ac:dyDescent="0.25">
      <c r="B12" s="5">
        <f>IFERROR((Inventory_List_Table[[#This Row],[Quantidade em estoque]]&lt;=Inventory_List_Table[[#This Row],[Nível de estoque]])*(Inventory_List_Table[[#This Row],[Descontinuado?]]="")*RealceValor,0)</f>
        <v>0</v>
      </c>
      <c r="C12" s="3" t="s">
        <v>126</v>
      </c>
      <c r="D12" s="3" t="s">
        <v>125</v>
      </c>
      <c r="E12" s="3" t="s">
        <v>124</v>
      </c>
      <c r="F12" s="6">
        <v>59</v>
      </c>
      <c r="G12" s="6"/>
      <c r="H12" s="6"/>
      <c r="I12" s="6"/>
      <c r="J12" s="4">
        <v>122</v>
      </c>
      <c r="K12" s="6">
        <f>Inventory_List_Table[[#This Row],[Preço unitário]]*Inventory_List_Table[[#This Row],[Quantidade em estoque]]</f>
        <v>7198</v>
      </c>
      <c r="L12" s="4">
        <v>82</v>
      </c>
      <c r="M12" s="4">
        <v>3</v>
      </c>
      <c r="N12" s="4">
        <v>150</v>
      </c>
    </row>
    <row r="13" spans="2:16" ht="24" customHeight="1" x14ac:dyDescent="0.25">
      <c r="B13" s="5">
        <f>IFERROR((Inventory_List_Table[[#This Row],[Quantidade em estoque]]&lt;=Inventory_List_Table[[#This Row],[Nível de estoque]])*(Inventory_List_Table[[#This Row],[Descontinuado?]]="")*RealceValor,0)</f>
        <v>1</v>
      </c>
      <c r="C13" s="3" t="s">
        <v>123</v>
      </c>
      <c r="D13" s="3" t="s">
        <v>122</v>
      </c>
      <c r="E13" s="3" t="s">
        <v>121</v>
      </c>
      <c r="F13" s="6">
        <v>50</v>
      </c>
      <c r="G13" s="6"/>
      <c r="H13" s="6"/>
      <c r="I13" s="6"/>
      <c r="J13" s="4">
        <v>175</v>
      </c>
      <c r="K13" s="6">
        <f>Inventory_List_Table[[#This Row],[Preço unitário]]*Inventory_List_Table[[#This Row],[Quantidade em estoque]]</f>
        <v>8750</v>
      </c>
      <c r="L13" s="4">
        <v>283</v>
      </c>
      <c r="M13" s="4">
        <v>8</v>
      </c>
      <c r="N13" s="4">
        <v>150</v>
      </c>
    </row>
    <row r="14" spans="2:16" ht="24" customHeight="1" x14ac:dyDescent="0.25">
      <c r="B14" s="5">
        <f>IFERROR((Inventory_List_Table[[#This Row],[Quantidade em estoque]]&lt;=Inventory_List_Table[[#This Row],[Nível de estoque]])*(Inventory_List_Table[[#This Row],[Descontinuado?]]="")*RealceValor,0)</f>
        <v>1</v>
      </c>
      <c r="C14" s="3" t="s">
        <v>120</v>
      </c>
      <c r="D14" s="3" t="s">
        <v>119</v>
      </c>
      <c r="E14" s="3" t="s">
        <v>118</v>
      </c>
      <c r="F14" s="6">
        <v>59</v>
      </c>
      <c r="G14" s="6"/>
      <c r="H14" s="6"/>
      <c r="I14" s="6"/>
      <c r="J14" s="4">
        <v>176</v>
      </c>
      <c r="K14" s="6">
        <f>Inventory_List_Table[[#This Row],[Preço unitário]]*Inventory_List_Table[[#This Row],[Quantidade em estoque]]</f>
        <v>10384</v>
      </c>
      <c r="L14" s="4">
        <v>229</v>
      </c>
      <c r="M14" s="4">
        <v>1</v>
      </c>
      <c r="N14" s="4">
        <v>100</v>
      </c>
    </row>
    <row r="15" spans="2:16" ht="24" customHeight="1" x14ac:dyDescent="0.25">
      <c r="B15" s="5">
        <f>IFERROR((Inventory_List_Table[[#This Row],[Quantidade em estoque]]&lt;=Inventory_List_Table[[#This Row],[Nível de estoque]])*(Inventory_List_Table[[#This Row],[Descontinuado?]]="")*RealceValor,0)</f>
        <v>1</v>
      </c>
      <c r="C15" s="3" t="s">
        <v>117</v>
      </c>
      <c r="D15" s="3" t="s">
        <v>116</v>
      </c>
      <c r="E15" s="3" t="s">
        <v>115</v>
      </c>
      <c r="F15" s="6">
        <v>18</v>
      </c>
      <c r="G15" s="6"/>
      <c r="H15" s="6"/>
      <c r="I15" s="6"/>
      <c r="J15" s="4">
        <v>22</v>
      </c>
      <c r="K15" s="6">
        <f>Inventory_List_Table[[#This Row],[Preço unitário]]*Inventory_List_Table[[#This Row],[Quantidade em estoque]]</f>
        <v>396</v>
      </c>
      <c r="L15" s="4">
        <v>36</v>
      </c>
      <c r="M15" s="4">
        <v>12</v>
      </c>
      <c r="N15" s="4">
        <v>50</v>
      </c>
    </row>
    <row r="16" spans="2:16" ht="24" customHeight="1" x14ac:dyDescent="0.25">
      <c r="B16" s="5">
        <f>IFERROR((Inventory_List_Table[[#This Row],[Quantidade em estoque]]&lt;=Inventory_List_Table[[#This Row],[Nível de estoque]])*(Inventory_List_Table[[#This Row],[Descontinuado?]]="")*RealceValor,0)</f>
        <v>1</v>
      </c>
      <c r="C16" s="3" t="s">
        <v>114</v>
      </c>
      <c r="D16" s="3" t="s">
        <v>113</v>
      </c>
      <c r="E16" s="3" t="s">
        <v>112</v>
      </c>
      <c r="F16" s="6">
        <v>26</v>
      </c>
      <c r="G16" s="6"/>
      <c r="H16" s="6"/>
      <c r="I16" s="6"/>
      <c r="J16" s="4">
        <v>72</v>
      </c>
      <c r="K16" s="6">
        <f>Inventory_List_Table[[#This Row],[Preço unitário]]*Inventory_List_Table[[#This Row],[Quantidade em estoque]]</f>
        <v>1872</v>
      </c>
      <c r="L16" s="4">
        <v>102</v>
      </c>
      <c r="M16" s="4">
        <v>9</v>
      </c>
      <c r="N16" s="4">
        <v>100</v>
      </c>
    </row>
    <row r="17" spans="2:15" ht="24" customHeight="1" x14ac:dyDescent="0.25">
      <c r="B17" s="5">
        <f>IFERROR((Inventory_List_Table[[#This Row],[Quantidade em estoque]]&lt;=Inventory_List_Table[[#This Row],[Nível de estoque]])*(Inventory_List_Table[[#This Row],[Descontinuado?]]="")*RealceValor,0)</f>
        <v>1</v>
      </c>
      <c r="C17" s="3" t="s">
        <v>111</v>
      </c>
      <c r="D17" s="3" t="s">
        <v>110</v>
      </c>
      <c r="E17" s="3" t="s">
        <v>109</v>
      </c>
      <c r="F17" s="6">
        <v>42</v>
      </c>
      <c r="G17" s="6"/>
      <c r="H17" s="6"/>
      <c r="I17" s="6"/>
      <c r="J17" s="4">
        <v>62</v>
      </c>
      <c r="K17" s="6">
        <f>Inventory_List_Table[[#This Row],[Preço unitário]]*Inventory_List_Table[[#This Row],[Quantidade em estoque]]</f>
        <v>2604</v>
      </c>
      <c r="L17" s="4">
        <v>83</v>
      </c>
      <c r="M17" s="4">
        <v>2</v>
      </c>
      <c r="N17" s="4">
        <v>100</v>
      </c>
    </row>
    <row r="18" spans="2:15" ht="24" customHeight="1" x14ac:dyDescent="0.25">
      <c r="B18" s="5">
        <f>IFERROR((Inventory_List_Table[[#This Row],[Quantidade em estoque]]&lt;=Inventory_List_Table[[#This Row],[Nível de estoque]])*(Inventory_List_Table[[#This Row],[Descontinuado?]]="")*RealceValor,0)</f>
        <v>0</v>
      </c>
      <c r="C18" s="3" t="s">
        <v>108</v>
      </c>
      <c r="D18" s="3" t="s">
        <v>107</v>
      </c>
      <c r="E18" s="3" t="s">
        <v>106</v>
      </c>
      <c r="F18" s="6">
        <v>32</v>
      </c>
      <c r="G18" s="6"/>
      <c r="H18" s="6"/>
      <c r="I18" s="6"/>
      <c r="J18" s="4">
        <v>46</v>
      </c>
      <c r="K18" s="6">
        <f>Inventory_List_Table[[#This Row],[Preço unitário]]*Inventory_List_Table[[#This Row],[Quantidade em estoque]]</f>
        <v>1472</v>
      </c>
      <c r="L18" s="4">
        <v>23</v>
      </c>
      <c r="M18" s="4">
        <v>15</v>
      </c>
      <c r="N18" s="4">
        <v>50</v>
      </c>
    </row>
    <row r="19" spans="2:15" ht="24" customHeight="1" x14ac:dyDescent="0.25">
      <c r="B19" s="5">
        <f>IFERROR((Inventory_List_Table[[#This Row],[Quantidade em estoque]]&lt;=Inventory_List_Table[[#This Row],[Nível de estoque]])*(Inventory_List_Table[[#This Row],[Descontinuado?]]="")*RealceValor,0)</f>
        <v>1</v>
      </c>
      <c r="C19" s="3" t="s">
        <v>105</v>
      </c>
      <c r="D19" s="3" t="s">
        <v>104</v>
      </c>
      <c r="E19" s="3" t="s">
        <v>103</v>
      </c>
      <c r="F19" s="6">
        <v>90</v>
      </c>
      <c r="G19" s="6"/>
      <c r="H19" s="6"/>
      <c r="I19" s="6"/>
      <c r="J19" s="4">
        <v>96</v>
      </c>
      <c r="K19" s="6">
        <f>Inventory_List_Table[[#This Row],[Preço unitário]]*Inventory_List_Table[[#This Row],[Quantidade em estoque]]</f>
        <v>8640</v>
      </c>
      <c r="L19" s="4">
        <v>180</v>
      </c>
      <c r="M19" s="4">
        <v>3</v>
      </c>
      <c r="N19" s="4">
        <v>50</v>
      </c>
    </row>
    <row r="20" spans="2:15" ht="24" customHeight="1" x14ac:dyDescent="0.25">
      <c r="B20" s="5">
        <f>IFERROR((Inventory_List_Table[[#This Row],[Quantidade em estoque]]&lt;=Inventory_List_Table[[#This Row],[Nível de estoque]])*(Inventory_List_Table[[#This Row],[Descontinuado?]]="")*RealceValor,0)</f>
        <v>0</v>
      </c>
      <c r="C20" s="3" t="s">
        <v>102</v>
      </c>
      <c r="D20" s="3" t="s">
        <v>101</v>
      </c>
      <c r="E20" s="3" t="s">
        <v>100</v>
      </c>
      <c r="F20" s="6">
        <v>97</v>
      </c>
      <c r="G20" s="6"/>
      <c r="H20" s="6"/>
      <c r="I20" s="6"/>
      <c r="J20" s="4">
        <v>57</v>
      </c>
      <c r="K20" s="6">
        <f>Inventory_List_Table[[#This Row],[Preço unitário]]*Inventory_List_Table[[#This Row],[Quantidade em estoque]]</f>
        <v>5529</v>
      </c>
      <c r="L20" s="4">
        <v>98</v>
      </c>
      <c r="M20" s="4">
        <v>12</v>
      </c>
      <c r="N20" s="4">
        <v>50</v>
      </c>
      <c r="O20" s="3" t="s">
        <v>81</v>
      </c>
    </row>
    <row r="21" spans="2:15" ht="24" customHeight="1" x14ac:dyDescent="0.25">
      <c r="B21" s="5">
        <f>IFERROR((Inventory_List_Table[[#This Row],[Quantidade em estoque]]&lt;=Inventory_List_Table[[#This Row],[Nível de estoque]])*(Inventory_List_Table[[#This Row],[Descontinuado?]]="")*RealceValor,0)</f>
        <v>1</v>
      </c>
      <c r="C21" s="3" t="s">
        <v>99</v>
      </c>
      <c r="D21" s="3" t="s">
        <v>98</v>
      </c>
      <c r="E21" s="3" t="s">
        <v>97</v>
      </c>
      <c r="F21" s="6">
        <v>12</v>
      </c>
      <c r="G21" s="6"/>
      <c r="H21" s="6"/>
      <c r="I21" s="6"/>
      <c r="J21" s="4">
        <v>6</v>
      </c>
      <c r="K21" s="6">
        <f>Inventory_List_Table[[#This Row],[Preço unitário]]*Inventory_List_Table[[#This Row],[Quantidade em estoque]]</f>
        <v>72</v>
      </c>
      <c r="L21" s="4">
        <v>7</v>
      </c>
      <c r="M21" s="4">
        <v>13</v>
      </c>
      <c r="N21" s="4">
        <v>50</v>
      </c>
    </row>
    <row r="22" spans="2:15" ht="24" customHeight="1" x14ac:dyDescent="0.25">
      <c r="B22" s="5">
        <f>IFERROR((Inventory_List_Table[[#This Row],[Quantidade em estoque]]&lt;=Inventory_List_Table[[#This Row],[Nível de estoque]])*(Inventory_List_Table[[#This Row],[Descontinuado?]]="")*RealceValor,0)</f>
        <v>1</v>
      </c>
      <c r="C22" s="3" t="s">
        <v>96</v>
      </c>
      <c r="D22" s="3" t="s">
        <v>95</v>
      </c>
      <c r="E22" s="3" t="s">
        <v>94</v>
      </c>
      <c r="F22" s="6">
        <v>82</v>
      </c>
      <c r="G22" s="6"/>
      <c r="H22" s="6"/>
      <c r="I22" s="6"/>
      <c r="J22" s="4">
        <v>143</v>
      </c>
      <c r="K22" s="6">
        <f>Inventory_List_Table[[#This Row],[Preço unitário]]*Inventory_List_Table[[#This Row],[Quantidade em estoque]]</f>
        <v>11726</v>
      </c>
      <c r="L22" s="4">
        <v>164</v>
      </c>
      <c r="M22" s="4">
        <v>12</v>
      </c>
      <c r="N22" s="4">
        <v>150</v>
      </c>
    </row>
    <row r="23" spans="2:15" ht="24" customHeight="1" x14ac:dyDescent="0.25">
      <c r="B23" s="5">
        <f>IFERROR((Inventory_List_Table[[#This Row],[Quantidade em estoque]]&lt;=Inventory_List_Table[[#This Row],[Nível de estoque]])*(Inventory_List_Table[[#This Row],[Descontinuado?]]="")*RealceValor,0)</f>
        <v>0</v>
      </c>
      <c r="C23" s="3" t="s">
        <v>93</v>
      </c>
      <c r="D23" s="3" t="s">
        <v>92</v>
      </c>
      <c r="E23" s="3" t="s">
        <v>91</v>
      </c>
      <c r="F23" s="6">
        <v>16</v>
      </c>
      <c r="G23" s="6"/>
      <c r="H23" s="6"/>
      <c r="I23" s="6"/>
      <c r="J23" s="4">
        <v>124</v>
      </c>
      <c r="K23" s="6">
        <f>Inventory_List_Table[[#This Row],[Preço unitário]]*Inventory_List_Table[[#This Row],[Quantidade em estoque]]</f>
        <v>1984</v>
      </c>
      <c r="L23" s="4">
        <v>113</v>
      </c>
      <c r="M23" s="4">
        <v>14</v>
      </c>
      <c r="N23" s="4">
        <v>50</v>
      </c>
    </row>
    <row r="24" spans="2:15" ht="24" customHeight="1" x14ac:dyDescent="0.25">
      <c r="B24" s="5">
        <f>IFERROR((Inventory_List_Table[[#This Row],[Quantidade em estoque]]&lt;=Inventory_List_Table[[#This Row],[Nível de estoque]])*(Inventory_List_Table[[#This Row],[Descontinuado?]]="")*RealceValor,0)</f>
        <v>0</v>
      </c>
      <c r="C24" s="3" t="s">
        <v>90</v>
      </c>
      <c r="D24" s="3" t="s">
        <v>89</v>
      </c>
      <c r="E24" s="3" t="s">
        <v>88</v>
      </c>
      <c r="F24" s="6">
        <v>19</v>
      </c>
      <c r="G24" s="6"/>
      <c r="H24" s="6"/>
      <c r="I24" s="6"/>
      <c r="J24" s="4">
        <v>112</v>
      </c>
      <c r="K24" s="6">
        <f>Inventory_List_Table[[#This Row],[Preço unitário]]*Inventory_List_Table[[#This Row],[Quantidade em estoque]]</f>
        <v>2128</v>
      </c>
      <c r="L24" s="4">
        <v>75</v>
      </c>
      <c r="M24" s="4">
        <v>11</v>
      </c>
      <c r="N24" s="4">
        <v>50</v>
      </c>
    </row>
    <row r="25" spans="2:15" ht="24" customHeight="1" x14ac:dyDescent="0.25">
      <c r="B25" s="5">
        <f>IFERROR((Inventory_List_Table[[#This Row],[Quantidade em estoque]]&lt;=Inventory_List_Table[[#This Row],[Nível de estoque]])*(Inventory_List_Table[[#This Row],[Descontinuado?]]="")*RealceValor,0)</f>
        <v>0</v>
      </c>
      <c r="C25" s="3" t="s">
        <v>87</v>
      </c>
      <c r="D25" s="3" t="s">
        <v>86</v>
      </c>
      <c r="E25" s="3" t="s">
        <v>85</v>
      </c>
      <c r="F25" s="6">
        <v>24</v>
      </c>
      <c r="G25" s="6"/>
      <c r="H25" s="6"/>
      <c r="I25" s="6"/>
      <c r="J25" s="4">
        <v>182</v>
      </c>
      <c r="K25" s="6">
        <f>Inventory_List_Table[[#This Row],[Preço unitário]]*Inventory_List_Table[[#This Row],[Quantidade em estoque]]</f>
        <v>4368</v>
      </c>
      <c r="L25" s="4">
        <v>132</v>
      </c>
      <c r="M25" s="4">
        <v>15</v>
      </c>
      <c r="N25" s="4">
        <v>150</v>
      </c>
    </row>
    <row r="26" spans="2:15" ht="24" customHeight="1" x14ac:dyDescent="0.25">
      <c r="B26" s="5">
        <f>IFERROR((Inventory_List_Table[[#This Row],[Quantidade em estoque]]&lt;=Inventory_List_Table[[#This Row],[Nível de estoque]])*(Inventory_List_Table[[#This Row],[Descontinuado?]]="")*RealceValor,0)</f>
        <v>0</v>
      </c>
      <c r="C26" s="3" t="s">
        <v>84</v>
      </c>
      <c r="D26" s="3" t="s">
        <v>83</v>
      </c>
      <c r="E26" s="3" t="s">
        <v>82</v>
      </c>
      <c r="F26" s="6">
        <v>29</v>
      </c>
      <c r="G26" s="6"/>
      <c r="H26" s="6"/>
      <c r="I26" s="6"/>
      <c r="J26" s="4">
        <v>106</v>
      </c>
      <c r="K26" s="6">
        <f>Inventory_List_Table[[#This Row],[Preço unitário]]*Inventory_List_Table[[#This Row],[Quantidade em estoque]]</f>
        <v>3074</v>
      </c>
      <c r="L26" s="4">
        <v>142</v>
      </c>
      <c r="M26" s="4">
        <v>1</v>
      </c>
      <c r="N26" s="4">
        <v>150</v>
      </c>
      <c r="O26" s="3" t="s">
        <v>81</v>
      </c>
    </row>
    <row r="27" spans="2:15" ht="24" customHeight="1" x14ac:dyDescent="0.25">
      <c r="B27" s="5">
        <f>IFERROR((Inventory_List_Table[[#This Row],[Quantidade em estoque]]&lt;=Inventory_List_Table[[#This Row],[Nível de estoque]])*(Inventory_List_Table[[#This Row],[Descontinuado?]]="")*RealceValor,0)</f>
        <v>0</v>
      </c>
      <c r="C27" s="3" t="s">
        <v>80</v>
      </c>
      <c r="D27" s="3" t="s">
        <v>79</v>
      </c>
      <c r="E27" s="3" t="s">
        <v>78</v>
      </c>
      <c r="F27" s="6">
        <v>75</v>
      </c>
      <c r="G27" s="6"/>
      <c r="H27" s="6"/>
      <c r="I27" s="6"/>
      <c r="J27" s="4">
        <v>173</v>
      </c>
      <c r="K27" s="6">
        <f>Inventory_List_Table[[#This Row],[Preço unitário]]*Inventory_List_Table[[#This Row],[Quantidade em estoque]]</f>
        <v>12975</v>
      </c>
      <c r="L27" s="4">
        <v>127</v>
      </c>
      <c r="M27" s="4">
        <v>9</v>
      </c>
      <c r="N27" s="4">
        <v>100</v>
      </c>
    </row>
    <row r="28" spans="2:15" ht="24" customHeight="1" x14ac:dyDescent="0.25">
      <c r="B28" s="5">
        <f>IFERROR((Inventory_List_Table[[#This Row],[Quantidade em estoque]]&lt;=Inventory_List_Table[[#This Row],[Nível de estoque]])*(Inventory_List_Table[[#This Row],[Descontinuado?]]="")*RealceValor,0)</f>
        <v>0</v>
      </c>
      <c r="C28" s="3" t="s">
        <v>77</v>
      </c>
      <c r="D28" s="3" t="s">
        <v>76</v>
      </c>
      <c r="E28" s="3" t="s">
        <v>75</v>
      </c>
      <c r="F28" s="6">
        <v>14</v>
      </c>
      <c r="G28" s="6"/>
      <c r="H28" s="6"/>
      <c r="I28" s="6"/>
      <c r="J28" s="4">
        <v>28</v>
      </c>
      <c r="K28" s="6">
        <f>Inventory_List_Table[[#This Row],[Preço unitário]]*Inventory_List_Table[[#This Row],[Quantidade em estoque]]</f>
        <v>392</v>
      </c>
      <c r="L28" s="4">
        <v>21</v>
      </c>
      <c r="M28" s="4">
        <v>8</v>
      </c>
      <c r="N28" s="4">
        <v>50</v>
      </c>
    </row>
  </sheetData>
  <phoneticPr fontId="1" type="noConversion"/>
  <conditionalFormatting sqref="B4:O28">
    <cfRule type="expression" dxfId="31" priority="15">
      <formula>$O4="Sim"</formula>
    </cfRule>
    <cfRule type="expression" dxfId="30" priority="16">
      <formula>$B4=1</formula>
    </cfRule>
  </conditionalFormatting>
  <dataValidations count="15">
    <dataValidation allowBlank="1" showInputMessage="1" showErrorMessage="1" promptTitle="Lista de estoque" prompt="Esta planilha controla o estoque dos itens listados na tabela de lista de estoque e possibilita realçar e sinalizar esses itens que já estão prontos para serem repostos. Itens descontinuados têm formatação Tachado e o texto &quot;sim&quot; na coluna correspondente." sqref="A1"/>
    <dataValidation type="list" allowBlank="1" showInputMessage="1" showErrorMessage="1" prompt="Selecione Sim para habilitar o realce de itens para ordenar. Isso aplica uma sinalização na coluna B e realça a linha correspondente na tabela Lista de estoque. Selecionar Não apagará os destaques e a sinalização." sqref="O2">
      <formula1>"Sim, Não"</formula1>
    </dataValidation>
    <dataValidation type="list" allowBlank="1" showInputMessage="1" showErrorMessage="1" sqref="O4:O28">
      <formula1>"Sim"</formula1>
    </dataValidation>
    <dataValidation allowBlank="1" showInputMessage="1" showErrorMessage="1" prompt="Insira uma descrição do item nesta coluna" sqref="E3"/>
    <dataValidation allowBlank="1" showInputMessage="1" showErrorMessage="1" prompt="Insira o preço unitário de cada item nesta coluna" sqref="F3:I3"/>
    <dataValidation allowBlank="1" showInputMessage="1" showErrorMessage="1" prompt="Insira a quantidade em estoque de cada item nesta coluna" sqref="J3"/>
    <dataValidation allowBlank="1" showInputMessage="1" showErrorMessage="1" prompt="Esse é um valor de estoque column._x000a__x000a_O valor de estoque de cada item é automaticamente calculado nesta coluna." sqref="K3"/>
    <dataValidation allowBlank="1" showInputMessage="1" showErrorMessage="1" prompt="Insira o nível de estoque de cada item nesta coluna" sqref="L3"/>
    <dataValidation allowBlank="1" showInputMessage="1" showErrorMessage="1" prompt="Insira quantos dias faltam para realizar nova encomenda de cada item nesta coluna" sqref="M3"/>
    <dataValidation allowBlank="1" showInputMessage="1" showErrorMessage="1" prompt="Insira a quantidade a encomendar de cada item nesta coluna" sqref="N3"/>
    <dataValidation allowBlank="1" showInputMessage="1" showErrorMessage="1" prompt="Insira sim se o item tiver sido descontinuado. Ao inserir Sim, a linha correspondente é realçada em cinza claro e o estilo da fonte é alterado para Tachado" sqref="O3"/>
    <dataValidation allowBlank="1" showInputMessage="1" showErrorMessage="1" prompt="Insira o nome do item nesta coluna" sqref="D3"/>
    <dataValidation allowBlank="1" showInputMessage="1" showErrorMessage="1" prompt="Insira a ID de estoque do item nesta coluna" sqref="C3"/>
    <dataValidation allowBlank="1" showInputMessage="1" showErrorMessage="1" prompt="É uma coluna automática. _x000a__x000a_ Um ícone de sinalização nesta coluna indica que os itens na lista de estoque estão prontos para reposição. Eles aparecerão quando o Sim estiver selecionado em L2 e o item atender aos critérios de reordenação." sqref="B3"/>
    <dataValidation allowBlank="1" showInputMessage="1" showErrorMessage="1" promptTitle="Lista de estoque" prompt="_x000a_Esta planilha controla o estoque dos itens listados na tabela de lista de estoque e possibilita realçar e sinalizar  itens que estão prontos para serem repostos. Itens descontinuados têm formatação Tachado e o texto &quot;sim&quot; na coluna correspondente." sqref="A2"/>
  </dataValidations>
  <pageMargins left="0.25" right="0.25" top="0.75" bottom="0.75" header="0.3" footer="0.3"/>
  <pageSetup paperSize="9" scale="56" fitToHeight="0" orientation="portrait" r:id="rId1"/>
  <customProperties>
    <customPr name="IbpWorksheetKeyString_GUID" r:id="rId2"/>
  </customProperties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4BBEFCCB-6B75-454B-B665-7B3CC227AC55}">
            <x14:iconSet showValue="0" custom="1">
              <x14:cfvo type="percent">
                <xm:f>0</xm:f>
              </x14:cfvo>
              <x14:cfvo type="num">
                <xm:f>-1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B4:B28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E7"/>
  <sheetViews>
    <sheetView workbookViewId="0">
      <selection activeCell="D1" sqref="D1:E1"/>
    </sheetView>
  </sheetViews>
  <sheetFormatPr defaultRowHeight="15" x14ac:dyDescent="0.25"/>
  <cols>
    <col min="2" max="2" width="13.85546875" bestFit="1" customWidth="1"/>
    <col min="4" max="4" width="11.85546875" customWidth="1"/>
    <col min="5" max="5" width="18.7109375" customWidth="1"/>
  </cols>
  <sheetData>
    <row r="1" spans="1:5" ht="15.75" thickBot="1" x14ac:dyDescent="0.3">
      <c r="A1" s="134" t="s">
        <v>185</v>
      </c>
      <c r="B1" s="135"/>
      <c r="D1" s="134" t="s">
        <v>186</v>
      </c>
      <c r="E1" s="135"/>
    </row>
    <row r="2" spans="1:5" ht="15.75" thickBot="1" x14ac:dyDescent="0.3">
      <c r="A2" s="25" t="s">
        <v>183</v>
      </c>
      <c r="B2" s="25" t="s">
        <v>184</v>
      </c>
      <c r="D2" s="25" t="s">
        <v>183</v>
      </c>
      <c r="E2" s="25" t="s">
        <v>184</v>
      </c>
    </row>
    <row r="3" spans="1:5" x14ac:dyDescent="0.25">
      <c r="A3" s="24">
        <v>1</v>
      </c>
      <c r="B3" s="24" t="s">
        <v>70</v>
      </c>
      <c r="D3" s="24">
        <v>1</v>
      </c>
      <c r="E3" s="24" t="s">
        <v>180</v>
      </c>
    </row>
    <row r="4" spans="1:5" x14ac:dyDescent="0.25">
      <c r="A4" s="23">
        <v>2</v>
      </c>
      <c r="B4" s="23" t="s">
        <v>71</v>
      </c>
      <c r="D4" s="23">
        <v>2</v>
      </c>
      <c r="E4" s="23" t="s">
        <v>181</v>
      </c>
    </row>
    <row r="5" spans="1:5" x14ac:dyDescent="0.25">
      <c r="A5" s="23">
        <v>3</v>
      </c>
      <c r="B5" s="23" t="s">
        <v>178</v>
      </c>
      <c r="D5" s="23">
        <v>3</v>
      </c>
      <c r="E5" s="23" t="s">
        <v>182</v>
      </c>
    </row>
    <row r="6" spans="1:5" x14ac:dyDescent="0.25">
      <c r="A6" s="23">
        <v>4</v>
      </c>
      <c r="B6" s="23" t="s">
        <v>179</v>
      </c>
    </row>
    <row r="7" spans="1:5" x14ac:dyDescent="0.25">
      <c r="A7" s="23">
        <v>5</v>
      </c>
      <c r="B7" s="23" t="s">
        <v>72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  <customProperties>
    <customPr name="IbpWorksheetKeyString_GU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C622CE-9550-45DB-AF57-5039C5BA2F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Planilha2</vt:lpstr>
      <vt:lpstr>painel_principal</vt:lpstr>
      <vt:lpstr>cadastro_clientes</vt:lpstr>
      <vt:lpstr>cadastro_pedidos</vt:lpstr>
      <vt:lpstr>cadastro_estoque</vt:lpstr>
      <vt:lpstr>plano_vendas_&amp;_estoque</vt:lpstr>
      <vt:lpstr>Bases&gt;&gt;</vt:lpstr>
      <vt:lpstr>base_clientes</vt:lpstr>
      <vt:lpstr>base_estoque</vt:lpstr>
      <vt:lpstr>base_pedidos</vt:lpstr>
      <vt:lpstr>tabela_itens</vt:lpstr>
      <vt:lpstr>Lista de estoque</vt:lpstr>
      <vt:lpstr>FORMA DE PAGAMENTO</vt:lpstr>
      <vt:lpstr>'Lista de estoque'!Titulos_de_impressao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Solange Lino</dc:creator>
  <cp:lastModifiedBy>Adriano Marciano Da Rosa</cp:lastModifiedBy>
  <dcterms:created xsi:type="dcterms:W3CDTF">2021-07-17T13:18:33Z</dcterms:created>
  <dcterms:modified xsi:type="dcterms:W3CDTF">2021-08-27T22:23:05Z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bpWorkbookKeyString_GUID">
    <vt:lpwstr>879d5d8d-a2a2-4cac-8a2c-5b8681a12565</vt:lpwstr>
  </property>
</Properties>
</file>